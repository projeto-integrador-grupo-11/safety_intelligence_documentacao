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na\OneDrive\Documentos\Safety Intelligence (1)\safety_intelligence_documentacao\Sprint 3\Product Backlog + Matriz de Rastreabilidade dos Requisitos\"/>
    </mc:Choice>
  </mc:AlternateContent>
  <xr:revisionPtr revIDLastSave="0" documentId="8_{8437EB0C-F2F3-4DF9-A995-468530897782}" xr6:coauthVersionLast="47" xr6:coauthVersionMax="47" xr10:uidLastSave="{00000000-0000-0000-0000-000000000000}"/>
  <bookViews>
    <workbookView xWindow="-108" yWindow="-108" windowWidth="23256" windowHeight="12456" xr2:uid="{7F13FE21-3909-4024-9E51-F6B5B91CD81C}"/>
  </bookViews>
  <sheets>
    <sheet name="Sprint3" sheetId="4" r:id="rId1"/>
    <sheet name="Sprint2" sheetId="3" r:id="rId2"/>
    <sheet name="Sprin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7" i="1"/>
  <c r="E48" i="1"/>
  <c r="E49" i="1"/>
  <c r="E50" i="1"/>
  <c r="E51" i="1"/>
  <c r="E52" i="1"/>
  <c r="E40" i="1"/>
  <c r="E39" i="1"/>
  <c r="E38" i="1"/>
  <c r="E37" i="1"/>
  <c r="E36" i="1"/>
  <c r="E35" i="1"/>
  <c r="E34" i="1"/>
  <c r="E33" i="1"/>
  <c r="E32" i="1"/>
  <c r="N36" i="1"/>
  <c r="E45" i="1"/>
  <c r="E44" i="1"/>
  <c r="E43" i="1"/>
  <c r="E42" i="1"/>
  <c r="E41" i="1"/>
  <c r="E16" i="1" l="1"/>
  <c r="E15" i="1"/>
  <c r="E13" i="1"/>
  <c r="E4" i="1"/>
  <c r="E5" i="1"/>
  <c r="E6" i="1"/>
  <c r="E7" i="1"/>
  <c r="E8" i="1"/>
  <c r="E9" i="1"/>
  <c r="E10" i="1"/>
  <c r="E11" i="1"/>
  <c r="E12" i="1"/>
  <c r="E14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" i="1"/>
  <c r="M35" i="1" l="1"/>
  <c r="N35" i="1"/>
  <c r="L35" i="1"/>
  <c r="N33" i="1"/>
  <c r="L34" i="1"/>
  <c r="M34" i="1"/>
  <c r="N34" i="1"/>
  <c r="E61" i="1"/>
  <c r="E60" i="1"/>
  <c r="E59" i="1"/>
  <c r="E58" i="1"/>
  <c r="E57" i="1"/>
  <c r="E56" i="1"/>
  <c r="E55" i="1"/>
  <c r="E54" i="1"/>
  <c r="E53" i="1"/>
  <c r="O35" i="1" l="1"/>
  <c r="L33" i="1"/>
  <c r="O33" i="1" s="1"/>
  <c r="O34" i="1"/>
  <c r="M33" i="1"/>
  <c r="M36" i="1"/>
  <c r="L36" i="1"/>
  <c r="O36" i="1" s="1"/>
</calcChain>
</file>

<file path=xl/sharedStrings.xml><?xml version="1.0" encoding="utf-8"?>
<sst xmlns="http://schemas.openxmlformats.org/spreadsheetml/2006/main" count="2081" uniqueCount="277">
  <si>
    <t>PBL - PRODUCT BACKLOG</t>
  </si>
  <si>
    <t>SAFETY INTELLIGENCE</t>
  </si>
  <si>
    <t>Código do Requisito</t>
  </si>
  <si>
    <t>Descrição do Requisito</t>
  </si>
  <si>
    <t>Tipo</t>
  </si>
  <si>
    <t>Importância</t>
  </si>
  <si>
    <t>Status</t>
  </si>
  <si>
    <t>Tamanho</t>
  </si>
  <si>
    <t>Urgência</t>
  </si>
  <si>
    <t>User Story</t>
  </si>
  <si>
    <t>Lean Ux Canvas</t>
  </si>
  <si>
    <t>Wireframe</t>
  </si>
  <si>
    <t>Banco de Dados</t>
  </si>
  <si>
    <t>Proto-Persona</t>
  </si>
  <si>
    <t>Definição do Projeto</t>
  </si>
  <si>
    <t>Gestão</t>
  </si>
  <si>
    <t>Website</t>
  </si>
  <si>
    <t>Cloud</t>
  </si>
  <si>
    <t>Custo</t>
  </si>
  <si>
    <t>ID01</t>
  </si>
  <si>
    <t>O sistema deve possuir identidade visual definida (nome, logotipo e cores principais).</t>
  </si>
  <si>
    <t>Não Funcional</t>
  </si>
  <si>
    <t>Essencial</t>
  </si>
  <si>
    <t>Pronto</t>
  </si>
  <si>
    <t>Média</t>
  </si>
  <si>
    <t>x</t>
  </si>
  <si>
    <t>N/A</t>
  </si>
  <si>
    <t>ID02</t>
  </si>
  <si>
    <t>O projeto deve manter o planejamento atualizado no Microsoft Planner.</t>
  </si>
  <si>
    <t>ID03</t>
  </si>
  <si>
    <t>O sistema deve ter definição clara do negócio, problema e solução proposta.</t>
  </si>
  <si>
    <t>Alta</t>
  </si>
  <si>
    <t>ID04</t>
  </si>
  <si>
    <t>O projeto deve conter uma pesquisa aprofundada sobre o tema.</t>
  </si>
  <si>
    <t>ID05</t>
  </si>
  <si>
    <t>O sistema deve possuir uma base de dados estruturada.</t>
  </si>
  <si>
    <t>Funcional</t>
  </si>
  <si>
    <t>BD-01</t>
  </si>
  <si>
    <t>ID06</t>
  </si>
  <si>
    <t>O projeto deve possuir documentação completa do desenvolvimento.</t>
  </si>
  <si>
    <t>ID07</t>
  </si>
  <si>
    <t>O sistema deve possuir um protótipo no Figma.</t>
  </si>
  <si>
    <t>Desejável</t>
  </si>
  <si>
    <t>Baixa</t>
  </si>
  <si>
    <t>ID08</t>
  </si>
  <si>
    <t>O projeto deve possuir repositório configurado no GitHub.</t>
  </si>
  <si>
    <t>ID09</t>
  </si>
  <si>
    <t>O sistema deve possuir website institucional com web-data-viz conectado ao banco de dados.</t>
  </si>
  <si>
    <t>WF-01</t>
  </si>
  <si>
    <t>WEB-01</t>
  </si>
  <si>
    <t>ID10</t>
  </si>
  <si>
    <t>O sistema deve permitir login e cadastro de usuários.</t>
  </si>
  <si>
    <t>WF-02</t>
  </si>
  <si>
    <t>ID11</t>
  </si>
  <si>
    <t>O sistema deve permitir o usuário alterar a senha</t>
  </si>
  <si>
    <t>WF-03</t>
  </si>
  <si>
    <t>ID12</t>
  </si>
  <si>
    <t>O sistema deve ser responsivo em diferentes dispositivos.</t>
  </si>
  <si>
    <t>ID13</t>
  </si>
  <si>
    <t>O sistema deve possuir diagrama de negócios.</t>
  </si>
  <si>
    <t>ID14</t>
  </si>
  <si>
    <t>O sistema deve possuir diagrama de solução com arquitetura de referência</t>
  </si>
  <si>
    <t>ID15</t>
  </si>
  <si>
    <t>O sistema deve possuir wireframes das telas.</t>
  </si>
  <si>
    <t>ID16</t>
  </si>
  <si>
    <t>O sistema deve possuir storyboard do projeto.</t>
  </si>
  <si>
    <t>ID17</t>
  </si>
  <si>
    <t>O projeto deve realizar entrevista com profissional da área.</t>
  </si>
  <si>
    <t>ID18</t>
  </si>
  <si>
    <t>O sistema deve possuir backlog estruturado e priorizado.</t>
  </si>
  <si>
    <t>ID19</t>
  </si>
  <si>
    <t>O sistema deve possuir dicionário de dados do banco.</t>
  </si>
  <si>
    <t>ID20</t>
  </si>
  <si>
    <t>O sistema deve registrar logs com data no console e banco de dados.</t>
  </si>
  <si>
    <t>ID21</t>
  </si>
  <si>
    <t>O projeto deve possuir proto-persona ideal para o projeto.</t>
  </si>
  <si>
    <t>PP-01</t>
  </si>
  <si>
    <t>ID22</t>
  </si>
  <si>
    <t>O projeto deve possuir proto-persona baseada na entrevista com profissional da área.</t>
  </si>
  <si>
    <t>PP-02</t>
  </si>
  <si>
    <t>ID23</t>
  </si>
  <si>
    <t>O sistema deve possuir user stories baseadas na proto-persona ideal para o projeto.</t>
  </si>
  <si>
    <t>US-01, US-02</t>
  </si>
  <si>
    <t>ID24</t>
  </si>
  <si>
    <t>O sistema deve possuir user stories baseadas na entrevista com profissional da área.</t>
  </si>
  <si>
    <t>US-03, US-04</t>
  </si>
  <si>
    <t>ID25</t>
  </si>
  <si>
    <t>O projeto deve desenvolver o Lean UX completo.</t>
  </si>
  <si>
    <t>LUC-01</t>
  </si>
  <si>
    <t>ID26</t>
  </si>
  <si>
    <t>O sistema deve possuir mapa do problema.</t>
  </si>
  <si>
    <t>ID27</t>
  </si>
  <si>
    <t>O sistema deve definir usuários e papéis com níveis de acesso.</t>
  </si>
  <si>
    <t>ID28</t>
  </si>
  <si>
    <t>O sistema deve permitir acesso remoto ao ambiente em nuvem.</t>
  </si>
  <si>
    <t>ID29</t>
  </si>
  <si>
    <t>O sistema deve possuir ambiente Linux configurado em nuvem.</t>
  </si>
  <si>
    <t>ID30</t>
  </si>
  <si>
    <t>O sistema deve possuir modelagem de banco de dados (DER).</t>
  </si>
  <si>
    <t>ID31</t>
  </si>
  <si>
    <t>O sistema deve possuir dashboard com indicadores definidos.</t>
  </si>
  <si>
    <t>WF-04</t>
  </si>
  <si>
    <t>ID32</t>
  </si>
  <si>
    <t>O sistema deve apresentar KPIs por estado contendo o total de latrocínios, roubos de veículos e furtos.</t>
  </si>
  <si>
    <t>WF-05</t>
  </si>
  <si>
    <t>ID33</t>
  </si>
  <si>
    <t>O sistema deve apresentar KPIs por cidade contendo indicadores de longevidade, educação e renda.</t>
  </si>
  <si>
    <t>WF-06</t>
  </si>
  <si>
    <t>ID34</t>
  </si>
  <si>
    <t>O sistema deve apresentar gráficos com dados gerais de furtos e Índice de Desenvolvimento Humano (IDH).</t>
  </si>
  <si>
    <t>WF-07</t>
  </si>
  <si>
    <t>ID35</t>
  </si>
  <si>
    <t>O sistema deve possuir 3 CRUDs completos com persistência em banco.</t>
  </si>
  <si>
    <t>ID36</t>
  </si>
  <si>
    <t>O sistema deve extrair e ler arquivos Excel via Apache POI e S3.</t>
  </si>
  <si>
    <t>ID37</t>
  </si>
  <si>
    <t>O sistema deve implementar segurança na AWS com IAM.</t>
  </si>
  <si>
    <t>CL-01</t>
  </si>
  <si>
    <t>ID38</t>
  </si>
  <si>
    <t>O sistema deve enviar notificações via Slack ou e-mail.</t>
  </si>
  <si>
    <t>ID39</t>
  </si>
  <si>
    <t>O sistema deve ser dockerizado e executado automaticamente na EC2.</t>
  </si>
  <si>
    <t>CL-02</t>
  </si>
  <si>
    <t>ID40</t>
  </si>
  <si>
    <t>O sistema deve permitir parametrização do envio de notificações via web.</t>
  </si>
  <si>
    <t>Planejado</t>
  </si>
  <si>
    <t>ID41</t>
  </si>
  <si>
    <t>O sistema deve possuir JAR com leitura de arquivos do S3, tratamento de dados, inserção em BD e logs.</t>
  </si>
  <si>
    <t>ID42</t>
  </si>
  <si>
    <t>O projeto deve possuir matriz de rastreabilidade dos requisitos.</t>
  </si>
  <si>
    <t>ID43</t>
  </si>
  <si>
    <t>O sistema deve possuir BPMN com processo detalhado.</t>
  </si>
  <si>
    <t>ID44</t>
  </si>
  <si>
    <t>O sistema deve possuir script de instalação Java, bibliotecas e variáveis de ambiente.</t>
  </si>
  <si>
    <t>ID45</t>
  </si>
  <si>
    <t>O sistema deve possuir VM em nuvem AWS com container de banco de dados.</t>
  </si>
  <si>
    <t>CL-03</t>
  </si>
  <si>
    <t>ID46</t>
  </si>
  <si>
    <t>O sistema deve habilitar bucket S3 para armazenamento de dados (Data Lake).</t>
  </si>
  <si>
    <t>ID47</t>
  </si>
  <si>
    <t>O sistema deve realizar deploy do site institucional na nuvem AWS.</t>
  </si>
  <si>
    <t>CL-04</t>
  </si>
  <si>
    <t>ID48</t>
  </si>
  <si>
    <t>O sistema deve possuir protótipo Java (JAR) executando em EC2 com agendamento via cron.</t>
  </si>
  <si>
    <t>Importante</t>
  </si>
  <si>
    <t>CL-05</t>
  </si>
  <si>
    <t>PRODUCT BACKLOG - SAFETY INTELLIGENCE</t>
  </si>
  <si>
    <t>REQUISITO</t>
  </si>
  <si>
    <t>DESCRIÇÃO</t>
  </si>
  <si>
    <t>CLASSIFICAÇÃO</t>
  </si>
  <si>
    <t>TAMANHO</t>
  </si>
  <si>
    <t>TAM(#)</t>
  </si>
  <si>
    <t>PRIORIDADE</t>
  </si>
  <si>
    <t>SPRINT</t>
  </si>
  <si>
    <t>ESTADO</t>
  </si>
  <si>
    <t>Identidade visual</t>
  </si>
  <si>
    <t>Definir o nome da empresa, criar um logotipo alinhado ao tema do projeto e definir as cores principais da empresa</t>
  </si>
  <si>
    <t>M</t>
  </si>
  <si>
    <t>SPRINT1</t>
  </si>
  <si>
    <t>FINALIZADO</t>
  </si>
  <si>
    <t>Planner</t>
  </si>
  <si>
    <t>Manter a ferramenta de planejamento do Microsoft Planner atualizada conforme o andamento do projeto</t>
  </si>
  <si>
    <t>P</t>
  </si>
  <si>
    <t>Definição do Negócio, Problema e Solução</t>
  </si>
  <si>
    <t>Definir claramente o modelo de negócio, o problema identificado e a solução proposta</t>
  </si>
  <si>
    <t>Pesquisa aprofundada</t>
  </si>
  <si>
    <t>Realizar uma pesquisa detalhada sobre o tema do projeto</t>
  </si>
  <si>
    <t>Base de dados</t>
  </si>
  <si>
    <t>Definir e estruturar a base de dados necessária para o sistema</t>
  </si>
  <si>
    <t>G</t>
  </si>
  <si>
    <t>Documentação do projeto</t>
  </si>
  <si>
    <t>Documentar todo o processo de criação e desenvolvimento do projeto</t>
  </si>
  <si>
    <t>Protótipo no figma</t>
  </si>
  <si>
    <t>Desenvolver o protótipo do site institucional no Figma</t>
  </si>
  <si>
    <t>Projeto no GitHub</t>
  </si>
  <si>
    <t>Criar e configurar o repositório do projeto no GitHub</t>
  </si>
  <si>
    <t xml:space="preserve">Website institucional estático </t>
  </si>
  <si>
    <t>Desenvolver um website institucional estático local com web-data-viz</t>
  </si>
  <si>
    <t>Página de login e cadastro</t>
  </si>
  <si>
    <t>Desenvolver funcionalidade de login e cadastro de usuários</t>
  </si>
  <si>
    <t>Responsividade</t>
  </si>
  <si>
    <t>Ajustar automaticamente o layout e os elementos da página para que sejam bem apresentados e funcionais em diferentes tamanhos de tela (computadores e celulares)</t>
  </si>
  <si>
    <t>Simbiose</t>
  </si>
  <si>
    <t>Relacionar a função de pelo menos um integrante da equipe com o projeto</t>
  </si>
  <si>
    <t>Diagrama de negócios</t>
  </si>
  <si>
    <t>Criar o diagrama de negócios, mostrando como o projeto resolve o problema e como essa resolução é realizada</t>
  </si>
  <si>
    <t>Desenho de solução</t>
  </si>
  <si>
    <t>Criar um diagrama de solução ultilizando simbolos e linhas para mostrar a estrutura,funcionamento e as relações entre componentes e o fluxo de dados ou processos</t>
  </si>
  <si>
    <t>Criar wireframes de todas as telas (exceto a institucional), com uma ilustração com desenhos fundamentais (baixa resolução/Preto e Branco)</t>
  </si>
  <si>
    <t>Storyboard</t>
  </si>
  <si>
    <t>Desenvolver o storyboard do projeto, semelhante a uma história em quadrinhos</t>
  </si>
  <si>
    <t>Visita agendada</t>
  </si>
  <si>
    <t>Agendar uma visita/entrevista com um profissional da área para entender melhor as dores e necessidades</t>
  </si>
  <si>
    <t>Product Backlog</t>
  </si>
  <si>
    <t>Montar o Product Backlog, ordenado e priorizado, com requisitos, descrição, classificação, tamanho, prioridade, separar por sprint e estado (finalizado ou pendente)</t>
  </si>
  <si>
    <t>Lista de Dados Necessários (BD)</t>
  </si>
  <si>
    <t>Criar o dicionário de dados do banco de dados</t>
  </si>
  <si>
    <t xml:space="preserve"> Log via console com datas</t>
  </si>
  <si>
    <t>Implementar registro de logs via console com datas, Logs do serviço Java em BD</t>
  </si>
  <si>
    <t xml:space="preserve"> Proto-Persona</t>
  </si>
  <si>
    <t>Criar uma proto-persona representando um usuário frequente do serviço, contendo: nome, foto, frase que represente o problema, palavras-chave que definam a persona, dores e necessidades</t>
  </si>
  <si>
    <t>User Stories</t>
  </si>
  <si>
    <t>Criar user stories para as proto-personas, com descrições simples, breves e informais de uma funcionalidade de software, escritas sob a perspectiva do usuário final. "Como [persona], eu quero [ação] para [benefício]", comunicando o objetivo de forma ágil e colaborativa.</t>
  </si>
  <si>
    <t>Lean UX</t>
  </si>
  <si>
    <t>Criar o Lean UX do projeto, mostrando como a situação é agora (problema do negócio e usuários), como resolver o problema (soluções e ideias) e como será depois, que vantagem competitiva será gerada (resultados para o negócio e usuários)</t>
  </si>
  <si>
    <t>PENDENTE</t>
  </si>
  <si>
    <t>Mapa do problema</t>
  </si>
  <si>
    <t>Desenvolver o mapa do problema</t>
  </si>
  <si>
    <t>PP</t>
  </si>
  <si>
    <t>Definição de usuários e papéis (Roles)</t>
  </si>
  <si>
    <t>Definir tipos de usuários e seus respectivos níveis de acesso com camada de segurança</t>
  </si>
  <si>
    <t>Configuração de acesso remoto ao ambiente em nuvem</t>
  </si>
  <si>
    <t>Configurar acesso remoto ao ambiente em nuvem AWS console + SSH</t>
  </si>
  <si>
    <t>Configuração de ambiente Linux em nuvem EC2</t>
  </si>
  <si>
    <t>Configurar e preparar o ambiente Linux na nuvem</t>
  </si>
  <si>
    <t>Plano de Resposta (Lições Aprendidas)</t>
  </si>
  <si>
    <t>Listar itens que, durante a 1º Sprint te deixaram Triste / Louco / Contente. Para cada item, listar pelo menos 1 (um) plano de ação para que este item, caso volte a acontecer, não te deixe mais Triste / Louco, ou continue te deixando Contente.</t>
  </si>
  <si>
    <t>Montar apresentação da Sprint</t>
  </si>
  <si>
    <t xml:space="preserve">Montar slide de apresentação da Sprint </t>
  </si>
  <si>
    <t>BURNDOWN</t>
  </si>
  <si>
    <t>Modelagem do Banco de Dados (DER)</t>
  </si>
  <si>
    <t>Criar o Diagrama Entidade-Relacionamento (DER)</t>
  </si>
  <si>
    <t>SPRINT2</t>
  </si>
  <si>
    <t>Sprints</t>
  </si>
  <si>
    <t>Pontos</t>
  </si>
  <si>
    <t>Entregue</t>
  </si>
  <si>
    <t>pendente</t>
  </si>
  <si>
    <t>Dashboard</t>
  </si>
  <si>
    <t>Criar a Dashboard e indicadores, definir os objetivos para saber que dados a dashboard precisa passar</t>
  </si>
  <si>
    <t>total</t>
  </si>
  <si>
    <t>Entrevista com visita</t>
  </si>
  <si>
    <t>Fazer antrevista com um profissional da área que foi feito o agendamento</t>
  </si>
  <si>
    <t>Sprint1</t>
  </si>
  <si>
    <t>Cadastros na WEB (3 CRUDs completos) persistindo em BD</t>
  </si>
  <si>
    <t>GG</t>
  </si>
  <si>
    <t>Sprint2</t>
  </si>
  <si>
    <t>Extração com ApachePOI e leitura de arquivos armazenados em S3 (.xlsx e .xls)</t>
  </si>
  <si>
    <t>Sprint3</t>
  </si>
  <si>
    <t>Camada de segurança em infraestrutura nuvem AWS com IAM</t>
  </si>
  <si>
    <t>Envio de notificações utilizando Slack e/ou Java Mail</t>
  </si>
  <si>
    <t>Dockerização e agendamento da execução do serviço Java em EC2</t>
  </si>
  <si>
    <t>Parametrização em Web do envio de notificações</t>
  </si>
  <si>
    <t>SPRINT3</t>
  </si>
  <si>
    <t>O sistema deve permitir o usuário alterar a senha.</t>
  </si>
  <si>
    <t>O sistema deve possuir indicadores de alerta alinhados com as regras de negócio.</t>
  </si>
  <si>
    <t>O sistema deve possuir diagrama de classes (Java) representando a estrutura do protótipo.</t>
  </si>
  <si>
    <t>O sistema deve possuir diagrama de sequência (HTTP) representando o fluxo de requisições web.</t>
  </si>
  <si>
    <t>O protótipo Java deve utilizar relacionamento de classes por composição e/ou agregação.</t>
  </si>
  <si>
    <t>O protótipo Java deve utilizar herança entre classes.</t>
  </si>
  <si>
    <t>ID49</t>
  </si>
  <si>
    <t>ID50</t>
  </si>
  <si>
    <t>ID51</t>
  </si>
  <si>
    <t>ID52</t>
  </si>
  <si>
    <t>ID53</t>
  </si>
  <si>
    <t>ID54</t>
  </si>
  <si>
    <t>ID55</t>
  </si>
  <si>
    <t>WF-08</t>
  </si>
  <si>
    <t>O sistema deve apresentar KPIs por estado contendo o total de latrocínios, roubos e furtos de veículos.</t>
  </si>
  <si>
    <t>O sistema deve apresentar gráficos com dados gerais de furtos e Índice de Desenvolvimento Humano (IDHM).</t>
  </si>
  <si>
    <t>O sistema deve enviar notificações via Slack (primário) e/ou e-mail (opcional).</t>
  </si>
  <si>
    <t>O projeto deve possuir autenticação JWT no backend web (Node), para ampliar a segurança do sistema.</t>
  </si>
  <si>
    <t>ID56</t>
  </si>
  <si>
    <t>ID57</t>
  </si>
  <si>
    <t>ID58</t>
  </si>
  <si>
    <t>ID59</t>
  </si>
  <si>
    <t>ID60</t>
  </si>
  <si>
    <t>ID61</t>
  </si>
  <si>
    <t>ID62</t>
  </si>
  <si>
    <t>O sistema deve permitir fixar cidades para comparação e consulta rápida (CRUD de favoritos).</t>
  </si>
  <si>
    <t>O sistema deve calcular e exibir score de atratividade imobiliária por estado e município.</t>
  </si>
  <si>
    <t>O sistema deve oferecer mapa interativo do Brasil com drill-down de UF para município.</t>
  </si>
  <si>
    <t>O sistema deve permitir busca de municípios por nome/UF com dados de IDHM e população.</t>
  </si>
  <si>
    <t>O sistema deve cruzar dados de segurança municipal (latrocínio/homicídio) com população e IDHM.</t>
  </si>
  <si>
    <t>O sistema deve permitir configuração de perfil do usuário.</t>
  </si>
  <si>
    <t>O sistema deve possuir fallback local quando planilhas não estiverem disponíveis no S3.</t>
  </si>
  <si>
    <t>O sistema não deve expor credenciais AWS no código-fonte; uso de IAM/variáveis de ambiente.</t>
  </si>
  <si>
    <t>O sistema deve tratar dados pessoais de usuário conforme LGPD (coleta mínima, exclusão de conta).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</si>
</sst>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8"/>
      <color theme="0"/>
      <name val="Tahoma"/>
      <family val="2"/>
    </font>
    <font>
      <b/>
      <sz val="20"/>
      <color theme="0"/>
      <name val="Tahoma"/>
      <family val="2"/>
    </font>
    <font>
      <b/>
      <sz val="12"/>
      <color theme="0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0B2E57"/>
        <bgColor indexed="64"/>
      </patternFill>
    </fill>
    <fill>
      <patternFill patternType="solid">
        <fgColor rgb="FFD2454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D2454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name val="Tahoma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u val="none"/>
        <vertAlign val="baseline"/>
        <name val="Tahoma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ahoma"/>
        <family val="2"/>
        <scheme val="none"/>
      </font>
      <fill>
        <patternFill patternType="solid">
          <fgColor indexed="64"/>
          <bgColor rgb="FFD2454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u val="none"/>
        <vertAlign val="baseline"/>
        <name val="Tahoma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ahoma"/>
        <family val="2"/>
        <scheme val="none"/>
      </font>
      <fill>
        <patternFill patternType="solid">
          <fgColor indexed="64"/>
          <bgColor rgb="FFD2454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B2E57"/>
      <color rgb="FFD24545"/>
      <color rgb="FFFF2525"/>
      <color rgb="FF637CEF"/>
      <color rgb="FFFFFFFF"/>
      <color rgb="FFE30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Sprint1!$M$32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Sprint1!$K$33:$K$36</c:f>
              <c:strCache>
                <c:ptCount val="4"/>
                <c:pt idx="0">
                  <c:v>total</c:v>
                </c:pt>
                <c:pt idx="1">
                  <c:v>Sprint1</c:v>
                </c:pt>
                <c:pt idx="2">
                  <c:v>Sprint2</c:v>
                </c:pt>
                <c:pt idx="3">
                  <c:v>Sprint3</c:v>
                </c:pt>
              </c:strCache>
            </c:strRef>
          </c:cat>
          <c:val>
            <c:numRef>
              <c:f>Sprint1!$M$33:$M$36</c:f>
              <c:numCache>
                <c:formatCode>General</c:formatCode>
                <c:ptCount val="4"/>
                <c:pt idx="0">
                  <c:v>410</c:v>
                </c:pt>
                <c:pt idx="1">
                  <c:v>250</c:v>
                </c:pt>
                <c:pt idx="2">
                  <c:v>160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9-443D-BFE7-7DA5CA5CD022}"/>
            </c:ext>
          </c:extLst>
        </c:ser>
        <c:ser>
          <c:idx val="1"/>
          <c:order val="1"/>
          <c:tx>
            <c:strRef>
              <c:f>Sprint1!$N$32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Sprint1!$K$33:$K$36</c:f>
              <c:strCache>
                <c:ptCount val="4"/>
                <c:pt idx="0">
                  <c:v>total</c:v>
                </c:pt>
                <c:pt idx="1">
                  <c:v>Sprint1</c:v>
                </c:pt>
                <c:pt idx="2">
                  <c:v>Sprint2</c:v>
                </c:pt>
                <c:pt idx="3">
                  <c:v>Sprint3</c:v>
                </c:pt>
              </c:strCache>
            </c:strRef>
          </c:cat>
          <c:val>
            <c:numRef>
              <c:f>Sprint1!$N$33:$N$36</c:f>
              <c:numCache>
                <c:formatCode>General</c:formatCode>
                <c:ptCount val="4"/>
                <c:pt idx="0">
                  <c:v>255</c:v>
                </c:pt>
                <c:pt idx="1">
                  <c:v>242</c:v>
                </c:pt>
                <c:pt idx="2">
                  <c:v>13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9-443D-BFE7-7DA5CA5C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838015"/>
        <c:axId val="1145840927"/>
      </c:lineChart>
      <c:catAx>
        <c:axId val="114583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40927"/>
        <c:crosses val="autoZero"/>
        <c:auto val="1"/>
        <c:lblAlgn val="ctr"/>
        <c:lblOffset val="100"/>
        <c:noMultiLvlLbl val="0"/>
      </c:catAx>
      <c:valAx>
        <c:axId val="114584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3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130628</xdr:colOff>
      <xdr:row>0</xdr:row>
      <xdr:rowOff>119742</xdr:rowOff>
    </xdr:from>
    <xdr:to>
      <xdr:col>0</xdr:col>
      <xdr:colOff>875439</xdr:colOff>
      <xdr:row>1</xdr:row>
      <xdr:rowOff>250370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F1302C-C2BE-4FEA-97CB-1CAD53385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89" r="54545" b="30629"/>
        <a:stretch>
          <a:fillRect/>
        </a:stretch>
      </xdr:blipFill>
      <xdr:spPr>
        <a:xfrm>
          <a:off x="130628" y="119742"/>
          <a:ext cx="744811" cy="7021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130628</xdr:colOff>
      <xdr:row>0</xdr:row>
      <xdr:rowOff>119742</xdr:rowOff>
    </xdr:from>
    <xdr:to>
      <xdr:col>0</xdr:col>
      <xdr:colOff>875439</xdr:colOff>
      <xdr:row>1</xdr:row>
      <xdr:rowOff>250370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856BB9-7897-4545-B2E4-CE1859BC0D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89" r="54545" b="30629"/>
        <a:stretch>
          <a:fillRect/>
        </a:stretch>
      </xdr:blipFill>
      <xdr:spPr>
        <a:xfrm>
          <a:off x="130628" y="119742"/>
          <a:ext cx="744811" cy="7021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160985</xdr:colOff>
      <xdr:row>36</xdr:row>
      <xdr:rowOff>377778</xdr:rowOff>
    </xdr:from>
    <xdr:to>
      <xdr:col>22</xdr:col>
      <xdr:colOff>52552</xdr:colOff>
      <xdr:row>58</xdr:row>
      <xdr:rowOff>105102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828B751-F4C9-4A2F-8F4D-6543874DE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1911302</xdr:colOff>
      <xdr:row>0</xdr:row>
      <xdr:rowOff>0</xdr:rowOff>
    </xdr:from>
    <xdr:to>
      <xdr:col>1</xdr:col>
      <xdr:colOff>2656113</xdr:colOff>
      <xdr:row>0</xdr:row>
      <xdr:rowOff>707571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246C08-BA47-E674-069D-4E2160B25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89" r="54545" b="30629"/>
        <a:stretch>
          <a:fillRect/>
        </a:stretch>
      </xdr:blipFill>
      <xdr:spPr>
        <a:xfrm>
          <a:off x="6069645" y="0"/>
          <a:ext cx="744811" cy="7075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8778A0-3BCB-4918-8C3D-E90B4972C876}" name="Tabela1343" displayName="Tabela1343" ref="A3:Q65" totalsRowShown="0" headerRowDxfId="61" dataDxfId="59" headerRowBorderDxfId="60" tableBorderDxfId="58">
  <autoFilter ref="A3:Q65" xr:uid="{2BF696E1-E460-4395-A8F6-CAA0467D7A56}"/>
  <tableColumns count="17">
    <tableColumn id="1" xr3:uid="{C30793B8-8CCA-4B9C-8FE9-605DF029629C}" name="Código do Requisito" dataDxfId="57"/>
    <tableColumn id="2" xr3:uid="{0550AEBC-8841-4585-9D29-23AF4CCD6D88}" name="Descrição do Requisito" dataDxfId="56"/>
    <tableColumn id="3" xr3:uid="{C22C877A-CF36-41E4-8A5F-EC9256DAA987}" name="Tipo" dataDxfId="55"/>
    <tableColumn id="4" xr3:uid="{33D5D835-3F97-4E68-8B0B-1DAB78239F2C}" name="Importância" dataDxfId="54"/>
    <tableColumn id="9" xr3:uid="{78A08321-3230-4E0B-97F0-A4FAA04DA42A}" name="Status" dataDxfId="53"/>
    <tableColumn id="5" xr3:uid="{E7947F1B-96C2-4BA0-8CC0-AA91A30B9E22}" name="Tamanho" dataDxfId="52"/>
    <tableColumn id="6" xr3:uid="{A12C276E-EBC1-4142-B856-8D906DD42A23}" name="Urgência" dataDxfId="51"/>
    <tableColumn id="8" xr3:uid="{855D85F3-DFCC-4668-A610-0F9ECAA7E247}" name="User Story" dataDxfId="50"/>
    <tableColumn id="10" xr3:uid="{01E3077C-89EE-463F-B3F1-FE9F48D73898}" name="Lean Ux Canvas" dataDxfId="49"/>
    <tableColumn id="11" xr3:uid="{7B63F2E8-94C1-489E-938B-5B7E2AD0AE60}" name="Wireframe" dataDxfId="48"/>
    <tableColumn id="12" xr3:uid="{46115847-1265-4ECF-A6E3-5637021FBE01}" name="Banco de Dados" dataDxfId="47"/>
    <tableColumn id="18" xr3:uid="{41A9F568-64C4-491C-A802-7D6C3EC46E23}" name="Proto-Persona" dataDxfId="8"/>
    <tableColumn id="17" xr3:uid="{F960C150-81C8-4171-87B9-88CBA9808C68}" name="Definição do Projeto" dataDxfId="9"/>
    <tableColumn id="16" xr3:uid="{43055D98-087F-490A-A760-60901AC54FB1}" name="Gestão" dataDxfId="10"/>
    <tableColumn id="15" xr3:uid="{83A9F483-8D2E-4B94-876B-7F25A36699F7}" name="Website" dataDxfId="11"/>
    <tableColumn id="14" xr3:uid="{EE84477C-7F48-4974-9297-38D911974FC1}" name="Cloud" dataDxfId="12"/>
    <tableColumn id="7" xr3:uid="{36A84045-F91B-4EE4-B056-5CA75BE32BCD}" name="Custo" dataDxfId="1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D1D61B-96A7-4717-8A7E-AB4616EE8DDA}" name="Tabela134" displayName="Tabela134" ref="A3:Q52" totalsRowShown="0" headerRowDxfId="46" dataDxfId="44" headerRowBorderDxfId="45" tableBorderDxfId="43">
  <autoFilter ref="A3:Q52" xr:uid="{2BF696E1-E460-4395-A8F6-CAA0467D7A56}"/>
  <tableColumns count="17">
    <tableColumn id="1" xr3:uid="{08F9696B-A80C-4C31-8391-CAF183C1F64B}" name="Código do Requisito" dataDxfId="42"/>
    <tableColumn id="2" xr3:uid="{6ED284F0-D736-42B0-9198-113881FC52C4}" name="Descrição do Requisito" dataDxfId="41"/>
    <tableColumn id="3" xr3:uid="{86E74857-8436-47EC-8BEB-5963C142A460}" name="Tipo" dataDxfId="40"/>
    <tableColumn id="4" xr3:uid="{3DCBA7DD-0B4C-4432-A78F-EA034FEBDBE5}" name="Importância" dataDxfId="39"/>
    <tableColumn id="9" xr3:uid="{C3C6C53D-3038-436B-A369-C4378E80283E}" name="Status" dataDxfId="38"/>
    <tableColumn id="5" xr3:uid="{CFFA1E83-FF4B-4BC4-B3C8-AA4FB1E5B750}" name="Tamanho" dataDxfId="37"/>
    <tableColumn id="6" xr3:uid="{441C0D8E-35ED-4EF5-A300-48C37538B880}" name="Urgência" dataDxfId="36"/>
    <tableColumn id="8" xr3:uid="{8EE8F4F1-94C0-4E2A-BAD0-4A78C47AECF9}" name="User Story" dataDxfId="35"/>
    <tableColumn id="10" xr3:uid="{C08BB0DA-7C93-4314-BF50-531BDFEC181D}" name="Lean Ux Canvas" dataDxfId="34"/>
    <tableColumn id="11" xr3:uid="{7B503E6B-0E6F-4AA8-A63B-9F05A061F43C}" name="Wireframe" dataDxfId="33"/>
    <tableColumn id="12" xr3:uid="{678A4484-CA80-4328-A3AE-EE2479CDCB09}" name="Banco de Dados" dataDxfId="32"/>
    <tableColumn id="13" xr3:uid="{E097E1F8-767A-420F-9B09-D2B473E00AE1}" name="Proto-Persona" dataDxfId="31"/>
    <tableColumn id="14" xr3:uid="{38073914-2E9B-413C-99C9-687B22935A05}" name="Definição do Projeto" dataDxfId="30"/>
    <tableColumn id="15" xr3:uid="{23D98D57-9ABF-4300-AAFB-6249D06E51DC}" name="Gestão" dataDxfId="29"/>
    <tableColumn id="16" xr3:uid="{E2D244B6-F47E-40B5-8B5F-093ABCFAAB1F}" name="Website" dataDxfId="28"/>
    <tableColumn id="17" xr3:uid="{A479396C-E100-4FF2-B848-EA0139317644}" name="Cloud" dataDxfId="27"/>
    <tableColumn id="7" xr3:uid="{8B0CBAF9-476C-4CA2-A161-3B9DB0346272}" name="Custo" dataDxfId="2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696E1-E460-4395-A8F6-CAA0467D7A56}" name="Tabela1" displayName="Tabela1" ref="A2:H61" totalsRowShown="0" headerRowDxfId="25" dataDxfId="23" headerRowBorderDxfId="24" tableBorderDxfId="22">
  <autoFilter ref="A2:H61" xr:uid="{2BF696E1-E460-4395-A8F6-CAA0467D7A56}"/>
  <tableColumns count="8">
    <tableColumn id="1" xr3:uid="{6ECC6F81-630B-49D3-805B-E9FE3D799D3D}" name="REQUISITO" dataDxfId="21"/>
    <tableColumn id="2" xr3:uid="{1D058733-D303-4135-A124-29464DC33A73}" name="DESCRIÇÃO" dataDxfId="20"/>
    <tableColumn id="3" xr3:uid="{4A9FBD53-C5AD-43F9-B80C-34C8759E680F}" name="CLASSIFICAÇÃO" dataDxfId="19"/>
    <tableColumn id="4" xr3:uid="{6928EAB6-577B-4082-AAC3-4ABABECCFE53}" name="TAMANHO" dataDxfId="18"/>
    <tableColumn id="5" xr3:uid="{CB0AD832-680E-4373-B96F-AFCC00E72603}" name="TAM(#)" dataDxfId="17">
      <calculatedColumnFormula>IF(D3="P",5,IF(D3="PP",3,IF(D3="M",8,IF(D3="G",13,IF(D3="GG",21,"")))))</calculatedColumnFormula>
    </tableColumn>
    <tableColumn id="6" xr3:uid="{D7323832-7608-48DF-A6CD-B1E879E62D55}" name="PRIORIDADE" dataDxfId="16"/>
    <tableColumn id="7" xr3:uid="{52683356-C07B-41EC-A6CD-AA16D06032D0}" name="SPRINT" dataDxfId="15"/>
    <tableColumn id="8" xr3:uid="{77F999EF-0A37-433E-9457-E5928B79426C}" name="ESTADO" dataDxfId="1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52BA-A71F-468C-88CB-CFFEAF2B8958}">
  <sheetPr>
    <pageSetUpPr fitToPage="1"/>
  </sheetPr>
  <dimension ref="A1:Q65"/>
  <sheetViews>
    <sheetView tabSelected="1" zoomScale="70" zoomScaleNormal="70" workbookViewId="0">
      <selection activeCell="E76" sqref="E76"/>
    </sheetView>
  </sheetViews>
  <sheetFormatPr defaultRowHeight="14.4" x14ac:dyDescent="0.3"/>
  <cols>
    <col min="1" max="1" width="17.109375" customWidth="1"/>
    <col min="2" max="2" width="110.77734375" customWidth="1"/>
    <col min="3" max="3" width="15" customWidth="1"/>
    <col min="4" max="4" width="21.33203125" customWidth="1"/>
    <col min="5" max="5" width="14.88671875" bestFit="1" customWidth="1"/>
    <col min="6" max="6" width="18" customWidth="1"/>
    <col min="7" max="17" width="17.33203125" customWidth="1"/>
    <col min="20" max="20" width="22.6640625" bestFit="1" customWidth="1"/>
  </cols>
  <sheetData>
    <row r="1" spans="1:17" ht="4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30" customHeight="1" x14ac:dyDescent="0.3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30" customHeight="1" x14ac:dyDescent="0.3">
      <c r="A3" s="14" t="s">
        <v>2</v>
      </c>
      <c r="B3" s="15" t="s">
        <v>3</v>
      </c>
      <c r="C3" s="15" t="s">
        <v>4</v>
      </c>
      <c r="D3" s="15" t="s">
        <v>5</v>
      </c>
      <c r="E3" s="16" t="s">
        <v>6</v>
      </c>
      <c r="F3" s="15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20" t="s">
        <v>12</v>
      </c>
      <c r="L3" s="16" t="s">
        <v>13</v>
      </c>
      <c r="M3" s="20" t="s">
        <v>14</v>
      </c>
      <c r="N3" s="16" t="s">
        <v>15</v>
      </c>
      <c r="O3" s="16" t="s">
        <v>16</v>
      </c>
      <c r="P3" s="16" t="s">
        <v>17</v>
      </c>
      <c r="Q3" s="16" t="s">
        <v>18</v>
      </c>
    </row>
    <row r="4" spans="1:17" ht="30" customHeight="1" x14ac:dyDescent="0.3">
      <c r="A4" s="17" t="s">
        <v>19</v>
      </c>
      <c r="B4" s="17" t="s">
        <v>20</v>
      </c>
      <c r="C4" s="17" t="s">
        <v>21</v>
      </c>
      <c r="D4" s="17" t="s">
        <v>22</v>
      </c>
      <c r="E4" s="18" t="s">
        <v>23</v>
      </c>
      <c r="F4" s="17">
        <v>5</v>
      </c>
      <c r="G4" s="17" t="s">
        <v>24</v>
      </c>
      <c r="H4" s="17" t="s">
        <v>25</v>
      </c>
      <c r="I4" s="17" t="s">
        <v>25</v>
      </c>
      <c r="J4" s="17" t="s">
        <v>25</v>
      </c>
      <c r="K4" s="17" t="s">
        <v>25</v>
      </c>
      <c r="L4" s="17" t="s">
        <v>25</v>
      </c>
      <c r="M4" s="17" t="s">
        <v>19</v>
      </c>
      <c r="N4" s="17" t="s">
        <v>25</v>
      </c>
      <c r="O4" s="17" t="s">
        <v>25</v>
      </c>
      <c r="P4" s="17" t="s">
        <v>25</v>
      </c>
      <c r="Q4" s="17" t="s">
        <v>26</v>
      </c>
    </row>
    <row r="5" spans="1:17" ht="30" customHeight="1" x14ac:dyDescent="0.3">
      <c r="A5" s="17" t="s">
        <v>27</v>
      </c>
      <c r="B5" s="17" t="s">
        <v>28</v>
      </c>
      <c r="C5" s="17" t="s">
        <v>21</v>
      </c>
      <c r="D5" s="17" t="s">
        <v>22</v>
      </c>
      <c r="E5" s="18" t="s">
        <v>23</v>
      </c>
      <c r="F5" s="17">
        <v>5</v>
      </c>
      <c r="G5" s="17" t="s">
        <v>24</v>
      </c>
      <c r="H5" s="17" t="s">
        <v>25</v>
      </c>
      <c r="I5" s="17" t="s">
        <v>25</v>
      </c>
      <c r="J5" s="17" t="s">
        <v>25</v>
      </c>
      <c r="K5" s="17" t="s">
        <v>25</v>
      </c>
      <c r="L5" s="17" t="s">
        <v>25</v>
      </c>
      <c r="M5" s="17" t="s">
        <v>25</v>
      </c>
      <c r="N5" s="17" t="s">
        <v>27</v>
      </c>
      <c r="O5" s="17" t="s">
        <v>25</v>
      </c>
      <c r="P5" s="17" t="s">
        <v>25</v>
      </c>
      <c r="Q5" s="17" t="s">
        <v>26</v>
      </c>
    </row>
    <row r="6" spans="1:17" ht="30" customHeight="1" x14ac:dyDescent="0.3">
      <c r="A6" s="17" t="s">
        <v>29</v>
      </c>
      <c r="B6" s="17" t="s">
        <v>30</v>
      </c>
      <c r="C6" s="17" t="s">
        <v>21</v>
      </c>
      <c r="D6" s="17" t="s">
        <v>22</v>
      </c>
      <c r="E6" s="18" t="s">
        <v>23</v>
      </c>
      <c r="F6" s="17">
        <v>8</v>
      </c>
      <c r="G6" s="17" t="s">
        <v>31</v>
      </c>
      <c r="H6" s="17" t="s">
        <v>25</v>
      </c>
      <c r="I6" s="17" t="s">
        <v>25</v>
      </c>
      <c r="J6" s="17" t="s">
        <v>25</v>
      </c>
      <c r="K6" s="17" t="s">
        <v>25</v>
      </c>
      <c r="L6" s="17" t="s">
        <v>25</v>
      </c>
      <c r="M6" s="17" t="s">
        <v>29</v>
      </c>
      <c r="N6" s="17" t="s">
        <v>25</v>
      </c>
      <c r="O6" s="17" t="s">
        <v>25</v>
      </c>
      <c r="P6" s="17" t="s">
        <v>25</v>
      </c>
      <c r="Q6" s="17" t="s">
        <v>26</v>
      </c>
    </row>
    <row r="7" spans="1:17" ht="30" customHeight="1" x14ac:dyDescent="0.3">
      <c r="A7" s="17" t="s">
        <v>32</v>
      </c>
      <c r="B7" s="17" t="s">
        <v>33</v>
      </c>
      <c r="C7" s="17" t="s">
        <v>21</v>
      </c>
      <c r="D7" s="17" t="s">
        <v>22</v>
      </c>
      <c r="E7" s="18" t="s">
        <v>23</v>
      </c>
      <c r="F7" s="17">
        <v>8</v>
      </c>
      <c r="G7" s="17" t="s">
        <v>31</v>
      </c>
      <c r="H7" s="17" t="s">
        <v>25</v>
      </c>
      <c r="I7" s="17" t="s">
        <v>25</v>
      </c>
      <c r="J7" s="17" t="s">
        <v>25</v>
      </c>
      <c r="K7" s="17" t="s">
        <v>25</v>
      </c>
      <c r="L7" s="17" t="s">
        <v>25</v>
      </c>
      <c r="M7" s="17" t="s">
        <v>32</v>
      </c>
      <c r="N7" s="17" t="s">
        <v>25</v>
      </c>
      <c r="O7" s="17" t="s">
        <v>25</v>
      </c>
      <c r="P7" s="17" t="s">
        <v>25</v>
      </c>
      <c r="Q7" s="17" t="s">
        <v>26</v>
      </c>
    </row>
    <row r="8" spans="1:17" ht="30" customHeight="1" x14ac:dyDescent="0.3">
      <c r="A8" s="17" t="s">
        <v>34</v>
      </c>
      <c r="B8" s="17" t="s">
        <v>35</v>
      </c>
      <c r="C8" s="17" t="s">
        <v>36</v>
      </c>
      <c r="D8" s="17" t="s">
        <v>22</v>
      </c>
      <c r="E8" s="18" t="s">
        <v>23</v>
      </c>
      <c r="F8" s="17">
        <v>13</v>
      </c>
      <c r="G8" s="17" t="s">
        <v>31</v>
      </c>
      <c r="H8" s="17" t="s">
        <v>25</v>
      </c>
      <c r="I8" s="17" t="s">
        <v>25</v>
      </c>
      <c r="J8" s="17" t="s">
        <v>25</v>
      </c>
      <c r="K8" s="17" t="s">
        <v>37</v>
      </c>
      <c r="L8" s="17" t="s">
        <v>25</v>
      </c>
      <c r="M8" s="17" t="s">
        <v>25</v>
      </c>
      <c r="N8" s="17" t="s">
        <v>25</v>
      </c>
      <c r="O8" s="17" t="s">
        <v>25</v>
      </c>
      <c r="P8" s="17" t="s">
        <v>25</v>
      </c>
      <c r="Q8" s="17" t="s">
        <v>26</v>
      </c>
    </row>
    <row r="9" spans="1:17" ht="30" customHeight="1" x14ac:dyDescent="0.3">
      <c r="A9" s="17" t="s">
        <v>38</v>
      </c>
      <c r="B9" s="17" t="s">
        <v>39</v>
      </c>
      <c r="C9" s="17" t="s">
        <v>21</v>
      </c>
      <c r="D9" s="17" t="s">
        <v>22</v>
      </c>
      <c r="E9" s="18" t="s">
        <v>23</v>
      </c>
      <c r="F9" s="17">
        <v>8</v>
      </c>
      <c r="G9" s="17" t="s">
        <v>31</v>
      </c>
      <c r="H9" s="17" t="s">
        <v>25</v>
      </c>
      <c r="I9" s="17" t="s">
        <v>25</v>
      </c>
      <c r="J9" s="17" t="s">
        <v>25</v>
      </c>
      <c r="K9" s="17" t="s">
        <v>25</v>
      </c>
      <c r="L9" s="17" t="s">
        <v>25</v>
      </c>
      <c r="M9" s="17" t="s">
        <v>25</v>
      </c>
      <c r="N9" s="17" t="s">
        <v>38</v>
      </c>
      <c r="O9" s="17" t="s">
        <v>25</v>
      </c>
      <c r="P9" s="17" t="s">
        <v>25</v>
      </c>
      <c r="Q9" s="17" t="s">
        <v>26</v>
      </c>
    </row>
    <row r="10" spans="1:17" ht="30" customHeight="1" x14ac:dyDescent="0.3">
      <c r="A10" s="17" t="s">
        <v>40</v>
      </c>
      <c r="B10" s="17" t="s">
        <v>41</v>
      </c>
      <c r="C10" s="17" t="s">
        <v>21</v>
      </c>
      <c r="D10" s="17" t="s">
        <v>42</v>
      </c>
      <c r="E10" s="18" t="s">
        <v>23</v>
      </c>
      <c r="F10" s="17">
        <v>5</v>
      </c>
      <c r="G10" s="17" t="s">
        <v>43</v>
      </c>
      <c r="H10" s="17" t="s">
        <v>25</v>
      </c>
      <c r="I10" s="17" t="s">
        <v>25</v>
      </c>
      <c r="J10" s="17" t="s">
        <v>25</v>
      </c>
      <c r="K10" s="17" t="s">
        <v>25</v>
      </c>
      <c r="L10" s="17" t="s">
        <v>25</v>
      </c>
      <c r="M10" s="17" t="s">
        <v>25</v>
      </c>
      <c r="N10" s="17" t="s">
        <v>25</v>
      </c>
      <c r="O10" s="17" t="s">
        <v>25</v>
      </c>
      <c r="P10" s="17" t="s">
        <v>25</v>
      </c>
      <c r="Q10" s="17" t="s">
        <v>26</v>
      </c>
    </row>
    <row r="11" spans="1:17" ht="30" customHeight="1" x14ac:dyDescent="0.3">
      <c r="A11" s="17" t="s">
        <v>44</v>
      </c>
      <c r="B11" s="17" t="s">
        <v>45</v>
      </c>
      <c r="C11" s="17" t="s">
        <v>21</v>
      </c>
      <c r="D11" s="17" t="s">
        <v>22</v>
      </c>
      <c r="E11" s="18" t="s">
        <v>23</v>
      </c>
      <c r="F11" s="17">
        <v>8</v>
      </c>
      <c r="G11" s="17" t="s">
        <v>24</v>
      </c>
      <c r="H11" s="17" t="s">
        <v>25</v>
      </c>
      <c r="I11" s="17" t="s">
        <v>25</v>
      </c>
      <c r="J11" s="17" t="s">
        <v>25</v>
      </c>
      <c r="K11" s="17" t="s">
        <v>25</v>
      </c>
      <c r="L11" s="17" t="s">
        <v>25</v>
      </c>
      <c r="M11" s="17" t="s">
        <v>25</v>
      </c>
      <c r="N11" s="17" t="s">
        <v>44</v>
      </c>
      <c r="O11" s="17" t="s">
        <v>25</v>
      </c>
      <c r="P11" s="17" t="s">
        <v>25</v>
      </c>
      <c r="Q11" s="17" t="s">
        <v>26</v>
      </c>
    </row>
    <row r="12" spans="1:17" ht="30" customHeight="1" x14ac:dyDescent="0.3">
      <c r="A12" s="17" t="s">
        <v>46</v>
      </c>
      <c r="B12" s="17" t="s">
        <v>47</v>
      </c>
      <c r="C12" s="17" t="s">
        <v>36</v>
      </c>
      <c r="D12" s="17" t="s">
        <v>22</v>
      </c>
      <c r="E12" s="18" t="s">
        <v>23</v>
      </c>
      <c r="F12" s="17">
        <v>8</v>
      </c>
      <c r="G12" s="17" t="s">
        <v>31</v>
      </c>
      <c r="H12" s="17" t="s">
        <v>25</v>
      </c>
      <c r="I12" s="17" t="s">
        <v>25</v>
      </c>
      <c r="J12" s="17" t="s">
        <v>48</v>
      </c>
      <c r="K12" s="17" t="s">
        <v>37</v>
      </c>
      <c r="L12" s="17" t="s">
        <v>25</v>
      </c>
      <c r="M12" s="17" t="s">
        <v>25</v>
      </c>
      <c r="N12" s="17" t="s">
        <v>25</v>
      </c>
      <c r="O12" s="17" t="s">
        <v>49</v>
      </c>
      <c r="P12" s="17" t="s">
        <v>25</v>
      </c>
      <c r="Q12" s="17" t="s">
        <v>26</v>
      </c>
    </row>
    <row r="13" spans="1:17" ht="30" customHeight="1" x14ac:dyDescent="0.3">
      <c r="A13" s="17" t="s">
        <v>50</v>
      </c>
      <c r="B13" s="17" t="s">
        <v>51</v>
      </c>
      <c r="C13" s="17" t="s">
        <v>36</v>
      </c>
      <c r="D13" s="17" t="s">
        <v>22</v>
      </c>
      <c r="E13" s="18" t="s">
        <v>23</v>
      </c>
      <c r="F13" s="17">
        <v>8</v>
      </c>
      <c r="G13" s="17" t="s">
        <v>31</v>
      </c>
      <c r="H13" s="17" t="s">
        <v>25</v>
      </c>
      <c r="I13" s="17" t="s">
        <v>25</v>
      </c>
      <c r="J13" s="17" t="s">
        <v>52</v>
      </c>
      <c r="K13" s="17" t="s">
        <v>25</v>
      </c>
      <c r="L13" s="17" t="s">
        <v>25</v>
      </c>
      <c r="M13" s="17" t="s">
        <v>25</v>
      </c>
      <c r="N13" s="17" t="s">
        <v>25</v>
      </c>
      <c r="O13" s="17" t="s">
        <v>25</v>
      </c>
      <c r="P13" s="17" t="s">
        <v>25</v>
      </c>
      <c r="Q13" s="17" t="s">
        <v>26</v>
      </c>
    </row>
    <row r="14" spans="1:17" ht="30" customHeight="1" x14ac:dyDescent="0.3">
      <c r="A14" s="17" t="s">
        <v>53</v>
      </c>
      <c r="B14" s="17" t="s">
        <v>243</v>
      </c>
      <c r="C14" s="17" t="s">
        <v>36</v>
      </c>
      <c r="D14" s="17" t="s">
        <v>42</v>
      </c>
      <c r="E14" s="18" t="s">
        <v>23</v>
      </c>
      <c r="F14" s="17">
        <v>8</v>
      </c>
      <c r="G14" s="17" t="s">
        <v>43</v>
      </c>
      <c r="H14" s="17" t="s">
        <v>25</v>
      </c>
      <c r="I14" s="17" t="s">
        <v>25</v>
      </c>
      <c r="J14" s="17" t="s">
        <v>55</v>
      </c>
      <c r="K14" s="17" t="s">
        <v>25</v>
      </c>
      <c r="L14" s="17" t="s">
        <v>25</v>
      </c>
      <c r="M14" s="17" t="s">
        <v>25</v>
      </c>
      <c r="N14" s="17" t="s">
        <v>25</v>
      </c>
      <c r="O14" s="17" t="s">
        <v>49</v>
      </c>
      <c r="P14" s="17" t="s">
        <v>25</v>
      </c>
      <c r="Q14" s="17" t="s">
        <v>26</v>
      </c>
    </row>
    <row r="15" spans="1:17" ht="30" customHeight="1" x14ac:dyDescent="0.3">
      <c r="A15" s="17" t="s">
        <v>56</v>
      </c>
      <c r="B15" s="17" t="s">
        <v>57</v>
      </c>
      <c r="C15" s="17" t="s">
        <v>36</v>
      </c>
      <c r="D15" s="17" t="s">
        <v>22</v>
      </c>
      <c r="E15" s="18" t="s">
        <v>23</v>
      </c>
      <c r="F15" s="17">
        <v>8</v>
      </c>
      <c r="G15" s="17" t="s">
        <v>24</v>
      </c>
      <c r="H15" s="17" t="s">
        <v>25</v>
      </c>
      <c r="I15" s="17" t="s">
        <v>25</v>
      </c>
      <c r="J15" s="17" t="s">
        <v>25</v>
      </c>
      <c r="K15" s="17" t="s">
        <v>25</v>
      </c>
      <c r="L15" s="17" t="s">
        <v>25</v>
      </c>
      <c r="M15" s="17" t="s">
        <v>25</v>
      </c>
      <c r="N15" s="17" t="s">
        <v>25</v>
      </c>
      <c r="O15" s="17" t="s">
        <v>49</v>
      </c>
      <c r="P15" s="17" t="s">
        <v>25</v>
      </c>
      <c r="Q15" s="17" t="s">
        <v>26</v>
      </c>
    </row>
    <row r="16" spans="1:17" ht="30" customHeight="1" x14ac:dyDescent="0.3">
      <c r="A16" s="17" t="s">
        <v>58</v>
      </c>
      <c r="B16" s="17" t="s">
        <v>59</v>
      </c>
      <c r="C16" s="17" t="s">
        <v>21</v>
      </c>
      <c r="D16" s="17" t="s">
        <v>42</v>
      </c>
      <c r="E16" s="18" t="s">
        <v>23</v>
      </c>
      <c r="F16" s="17">
        <v>3</v>
      </c>
      <c r="G16" s="17" t="s">
        <v>43</v>
      </c>
      <c r="H16" s="17" t="s">
        <v>25</v>
      </c>
      <c r="I16" s="17" t="s">
        <v>25</v>
      </c>
      <c r="J16" s="17" t="s">
        <v>25</v>
      </c>
      <c r="K16" s="17" t="s">
        <v>25</v>
      </c>
      <c r="L16" s="17" t="s">
        <v>25</v>
      </c>
      <c r="M16" s="17" t="s">
        <v>25</v>
      </c>
      <c r="N16" s="17" t="s">
        <v>25</v>
      </c>
      <c r="O16" s="17" t="s">
        <v>25</v>
      </c>
      <c r="P16" s="17" t="s">
        <v>25</v>
      </c>
      <c r="Q16" s="17" t="s">
        <v>26</v>
      </c>
    </row>
    <row r="17" spans="1:17" ht="30" customHeight="1" x14ac:dyDescent="0.3">
      <c r="A17" s="17" t="s">
        <v>60</v>
      </c>
      <c r="B17" s="17" t="s">
        <v>61</v>
      </c>
      <c r="C17" s="17" t="s">
        <v>21</v>
      </c>
      <c r="D17" s="17" t="s">
        <v>22</v>
      </c>
      <c r="E17" s="18" t="s">
        <v>23</v>
      </c>
      <c r="F17" s="17">
        <v>5</v>
      </c>
      <c r="G17" s="17" t="s">
        <v>43</v>
      </c>
      <c r="H17" s="17" t="s">
        <v>25</v>
      </c>
      <c r="I17" s="17" t="s">
        <v>25</v>
      </c>
      <c r="J17" s="17" t="s">
        <v>25</v>
      </c>
      <c r="K17" s="17" t="s">
        <v>25</v>
      </c>
      <c r="L17" s="17" t="s">
        <v>25</v>
      </c>
      <c r="M17" s="17" t="s">
        <v>25</v>
      </c>
      <c r="N17" s="17" t="s">
        <v>25</v>
      </c>
      <c r="O17" s="17" t="s">
        <v>25</v>
      </c>
      <c r="P17" s="17" t="s">
        <v>25</v>
      </c>
      <c r="Q17" s="17" t="s">
        <v>26</v>
      </c>
    </row>
    <row r="18" spans="1:17" ht="30" customHeight="1" x14ac:dyDescent="0.3">
      <c r="A18" s="17" t="s">
        <v>62</v>
      </c>
      <c r="B18" s="17" t="s">
        <v>63</v>
      </c>
      <c r="C18" s="17" t="s">
        <v>21</v>
      </c>
      <c r="D18" s="17" t="s">
        <v>22</v>
      </c>
      <c r="E18" s="18" t="s">
        <v>23</v>
      </c>
      <c r="F18" s="17">
        <v>5</v>
      </c>
      <c r="G18" s="17" t="s">
        <v>24</v>
      </c>
      <c r="H18" s="17" t="s">
        <v>25</v>
      </c>
      <c r="I18" s="17" t="s">
        <v>25</v>
      </c>
      <c r="J18" s="17" t="s">
        <v>48</v>
      </c>
      <c r="K18" s="17" t="s">
        <v>25</v>
      </c>
      <c r="L18" s="17" t="s">
        <v>25</v>
      </c>
      <c r="M18" s="17" t="s">
        <v>25</v>
      </c>
      <c r="N18" s="17" t="s">
        <v>25</v>
      </c>
      <c r="O18" s="17" t="s">
        <v>25</v>
      </c>
      <c r="P18" s="17" t="s">
        <v>25</v>
      </c>
      <c r="Q18" s="17" t="s">
        <v>26</v>
      </c>
    </row>
    <row r="19" spans="1:17" ht="30" customHeight="1" x14ac:dyDescent="0.3">
      <c r="A19" s="17" t="s">
        <v>64</v>
      </c>
      <c r="B19" s="17" t="s">
        <v>65</v>
      </c>
      <c r="C19" s="17" t="s">
        <v>21</v>
      </c>
      <c r="D19" s="17" t="s">
        <v>22</v>
      </c>
      <c r="E19" s="18" t="s">
        <v>23</v>
      </c>
      <c r="F19" s="17">
        <v>8</v>
      </c>
      <c r="G19" s="17" t="s">
        <v>24</v>
      </c>
      <c r="H19" s="17" t="s">
        <v>25</v>
      </c>
      <c r="I19" s="17" t="s">
        <v>25</v>
      </c>
      <c r="J19" s="17" t="s">
        <v>25</v>
      </c>
      <c r="K19" s="17" t="s">
        <v>25</v>
      </c>
      <c r="L19" s="17" t="s">
        <v>25</v>
      </c>
      <c r="M19" s="17" t="s">
        <v>25</v>
      </c>
      <c r="N19" s="17" t="s">
        <v>25</v>
      </c>
      <c r="O19" s="17" t="s">
        <v>25</v>
      </c>
      <c r="P19" s="17" t="s">
        <v>25</v>
      </c>
      <c r="Q19" s="17" t="s">
        <v>26</v>
      </c>
    </row>
    <row r="20" spans="1:17" ht="30" customHeight="1" x14ac:dyDescent="0.3">
      <c r="A20" s="17" t="s">
        <v>66</v>
      </c>
      <c r="B20" s="17" t="s">
        <v>67</v>
      </c>
      <c r="C20" s="17" t="s">
        <v>21</v>
      </c>
      <c r="D20" s="17" t="s">
        <v>22</v>
      </c>
      <c r="E20" s="18" t="s">
        <v>23</v>
      </c>
      <c r="F20" s="17">
        <v>8</v>
      </c>
      <c r="G20" s="17" t="s">
        <v>24</v>
      </c>
      <c r="H20" s="17" t="s">
        <v>25</v>
      </c>
      <c r="I20" s="17" t="s">
        <v>25</v>
      </c>
      <c r="J20" s="17" t="s">
        <v>25</v>
      </c>
      <c r="K20" s="17" t="s">
        <v>25</v>
      </c>
      <c r="L20" s="17" t="s">
        <v>25</v>
      </c>
      <c r="M20" s="17" t="s">
        <v>25</v>
      </c>
      <c r="N20" s="17" t="s">
        <v>25</v>
      </c>
      <c r="O20" s="17" t="s">
        <v>25</v>
      </c>
      <c r="P20" s="17" t="s">
        <v>25</v>
      </c>
      <c r="Q20" s="17" t="s">
        <v>26</v>
      </c>
    </row>
    <row r="21" spans="1:17" ht="30" customHeight="1" x14ac:dyDescent="0.3">
      <c r="A21" s="17" t="s">
        <v>68</v>
      </c>
      <c r="B21" s="17" t="s">
        <v>69</v>
      </c>
      <c r="C21" s="17" t="s">
        <v>21</v>
      </c>
      <c r="D21" s="17" t="s">
        <v>22</v>
      </c>
      <c r="E21" s="18" t="s">
        <v>23</v>
      </c>
      <c r="F21" s="17">
        <v>8</v>
      </c>
      <c r="G21" s="17" t="s">
        <v>24</v>
      </c>
      <c r="H21" s="17" t="s">
        <v>25</v>
      </c>
      <c r="I21" s="17" t="s">
        <v>25</v>
      </c>
      <c r="J21" s="17" t="s">
        <v>25</v>
      </c>
      <c r="K21" s="17" t="s">
        <v>25</v>
      </c>
      <c r="L21" s="17" t="s">
        <v>25</v>
      </c>
      <c r="M21" s="17" t="s">
        <v>25</v>
      </c>
      <c r="N21" s="17" t="s">
        <v>68</v>
      </c>
      <c r="O21" s="17" t="s">
        <v>25</v>
      </c>
      <c r="P21" s="17" t="s">
        <v>25</v>
      </c>
      <c r="Q21" s="17" t="s">
        <v>26</v>
      </c>
    </row>
    <row r="22" spans="1:17" ht="30" customHeight="1" x14ac:dyDescent="0.3">
      <c r="A22" s="17" t="s">
        <v>70</v>
      </c>
      <c r="B22" s="17" t="s">
        <v>71</v>
      </c>
      <c r="C22" s="17" t="s">
        <v>36</v>
      </c>
      <c r="D22" s="17" t="s">
        <v>22</v>
      </c>
      <c r="E22" s="18" t="s">
        <v>23</v>
      </c>
      <c r="F22" s="17">
        <v>13</v>
      </c>
      <c r="G22" s="17" t="s">
        <v>24</v>
      </c>
      <c r="H22" s="17" t="s">
        <v>25</v>
      </c>
      <c r="I22" s="17" t="s">
        <v>25</v>
      </c>
      <c r="J22" s="17" t="s">
        <v>25</v>
      </c>
      <c r="K22" s="17" t="s">
        <v>37</v>
      </c>
      <c r="L22" s="17" t="s">
        <v>25</v>
      </c>
      <c r="M22" s="17" t="s">
        <v>25</v>
      </c>
      <c r="N22" s="17" t="s">
        <v>25</v>
      </c>
      <c r="O22" s="17" t="s">
        <v>25</v>
      </c>
      <c r="P22" s="17" t="s">
        <v>25</v>
      </c>
      <c r="Q22" s="17" t="s">
        <v>26</v>
      </c>
    </row>
    <row r="23" spans="1:17" ht="30" customHeight="1" x14ac:dyDescent="0.3">
      <c r="A23" s="17" t="s">
        <v>72</v>
      </c>
      <c r="B23" s="17" t="s">
        <v>73</v>
      </c>
      <c r="C23" s="17" t="s">
        <v>36</v>
      </c>
      <c r="D23" s="17" t="s">
        <v>22</v>
      </c>
      <c r="E23" s="18" t="s">
        <v>23</v>
      </c>
      <c r="F23" s="17">
        <v>13</v>
      </c>
      <c r="G23" s="17" t="s">
        <v>24</v>
      </c>
      <c r="H23" s="17" t="s">
        <v>25</v>
      </c>
      <c r="I23" s="17" t="s">
        <v>25</v>
      </c>
      <c r="J23" s="17" t="s">
        <v>25</v>
      </c>
      <c r="K23" s="17" t="s">
        <v>25</v>
      </c>
      <c r="L23" s="17" t="s">
        <v>25</v>
      </c>
      <c r="M23" s="17" t="s">
        <v>25</v>
      </c>
      <c r="N23" s="17" t="s">
        <v>25</v>
      </c>
      <c r="O23" s="17" t="s">
        <v>25</v>
      </c>
      <c r="P23" s="17" t="s">
        <v>25</v>
      </c>
      <c r="Q23" s="17" t="s">
        <v>26</v>
      </c>
    </row>
    <row r="24" spans="1:17" ht="30" customHeight="1" x14ac:dyDescent="0.3">
      <c r="A24" s="17" t="s">
        <v>74</v>
      </c>
      <c r="B24" s="17" t="s">
        <v>75</v>
      </c>
      <c r="C24" s="17" t="s">
        <v>21</v>
      </c>
      <c r="D24" s="17" t="s">
        <v>22</v>
      </c>
      <c r="E24" s="18" t="s">
        <v>23</v>
      </c>
      <c r="F24" s="17">
        <v>8</v>
      </c>
      <c r="G24" s="17" t="s">
        <v>24</v>
      </c>
      <c r="H24" s="17" t="s">
        <v>25</v>
      </c>
      <c r="I24" s="17" t="s">
        <v>25</v>
      </c>
      <c r="J24" s="17" t="s">
        <v>25</v>
      </c>
      <c r="K24" s="17" t="s">
        <v>25</v>
      </c>
      <c r="L24" s="17" t="s">
        <v>76</v>
      </c>
      <c r="M24" s="17" t="s">
        <v>25</v>
      </c>
      <c r="N24" s="17" t="s">
        <v>25</v>
      </c>
      <c r="O24" s="17" t="s">
        <v>25</v>
      </c>
      <c r="P24" s="17" t="s">
        <v>25</v>
      </c>
      <c r="Q24" s="17" t="s">
        <v>26</v>
      </c>
    </row>
    <row r="25" spans="1:17" ht="30" customHeight="1" x14ac:dyDescent="0.3">
      <c r="A25" s="17" t="s">
        <v>77</v>
      </c>
      <c r="B25" s="17" t="s">
        <v>81</v>
      </c>
      <c r="C25" s="17" t="s">
        <v>21</v>
      </c>
      <c r="D25" s="17" t="s">
        <v>22</v>
      </c>
      <c r="E25" s="18" t="s">
        <v>23</v>
      </c>
      <c r="F25" s="17">
        <v>8</v>
      </c>
      <c r="G25" s="17" t="s">
        <v>43</v>
      </c>
      <c r="H25" s="19" t="s">
        <v>82</v>
      </c>
      <c r="I25" s="17" t="s">
        <v>25</v>
      </c>
      <c r="J25" s="17" t="s">
        <v>25</v>
      </c>
      <c r="K25" s="17" t="s">
        <v>25</v>
      </c>
      <c r="L25" s="17" t="s">
        <v>25</v>
      </c>
      <c r="M25" s="17" t="s">
        <v>25</v>
      </c>
      <c r="N25" s="17" t="s">
        <v>25</v>
      </c>
      <c r="O25" s="17" t="s">
        <v>25</v>
      </c>
      <c r="P25" s="17" t="s">
        <v>25</v>
      </c>
      <c r="Q25" s="17" t="s">
        <v>26</v>
      </c>
    </row>
    <row r="26" spans="1:17" ht="30" customHeight="1" x14ac:dyDescent="0.3">
      <c r="A26" s="17" t="s">
        <v>80</v>
      </c>
      <c r="B26" s="17" t="s">
        <v>84</v>
      </c>
      <c r="C26" s="17" t="s">
        <v>21</v>
      </c>
      <c r="D26" s="17" t="s">
        <v>22</v>
      </c>
      <c r="E26" s="18" t="s">
        <v>23</v>
      </c>
      <c r="F26" s="17">
        <v>8</v>
      </c>
      <c r="G26" s="17" t="s">
        <v>43</v>
      </c>
      <c r="H26" s="19" t="s">
        <v>85</v>
      </c>
      <c r="I26" s="17" t="s">
        <v>25</v>
      </c>
      <c r="J26" s="17" t="s">
        <v>25</v>
      </c>
      <c r="K26" s="17" t="s">
        <v>25</v>
      </c>
      <c r="L26" s="17" t="s">
        <v>25</v>
      </c>
      <c r="M26" s="17" t="s">
        <v>25</v>
      </c>
      <c r="N26" s="17" t="s">
        <v>25</v>
      </c>
      <c r="O26" s="17" t="s">
        <v>25</v>
      </c>
      <c r="P26" s="17" t="s">
        <v>25</v>
      </c>
      <c r="Q26" s="17" t="s">
        <v>26</v>
      </c>
    </row>
    <row r="27" spans="1:17" ht="30" customHeight="1" x14ac:dyDescent="0.3">
      <c r="A27" s="17" t="s">
        <v>83</v>
      </c>
      <c r="B27" s="17" t="s">
        <v>87</v>
      </c>
      <c r="C27" s="17" t="s">
        <v>21</v>
      </c>
      <c r="D27" s="17" t="s">
        <v>22</v>
      </c>
      <c r="E27" s="18" t="s">
        <v>23</v>
      </c>
      <c r="F27" s="17">
        <v>8</v>
      </c>
      <c r="G27" s="17" t="s">
        <v>31</v>
      </c>
      <c r="H27" s="17" t="s">
        <v>25</v>
      </c>
      <c r="I27" s="17" t="s">
        <v>88</v>
      </c>
      <c r="J27" s="17" t="s">
        <v>25</v>
      </c>
      <c r="K27" s="17" t="s">
        <v>25</v>
      </c>
      <c r="L27" s="17" t="s">
        <v>25</v>
      </c>
      <c r="M27" s="17" t="s">
        <v>25</v>
      </c>
      <c r="N27" s="17" t="s">
        <v>25</v>
      </c>
      <c r="O27" s="17" t="s">
        <v>25</v>
      </c>
      <c r="P27" s="17" t="s">
        <v>25</v>
      </c>
      <c r="Q27" s="17" t="s">
        <v>26</v>
      </c>
    </row>
    <row r="28" spans="1:17" ht="30" customHeight="1" x14ac:dyDescent="0.3">
      <c r="A28" s="17" t="s">
        <v>86</v>
      </c>
      <c r="B28" s="17" t="s">
        <v>90</v>
      </c>
      <c r="C28" s="17" t="s">
        <v>21</v>
      </c>
      <c r="D28" s="17" t="s">
        <v>42</v>
      </c>
      <c r="E28" s="18" t="s">
        <v>23</v>
      </c>
      <c r="F28" s="17">
        <v>3</v>
      </c>
      <c r="G28" s="17" t="s">
        <v>43</v>
      </c>
      <c r="H28" s="17" t="s">
        <v>25</v>
      </c>
      <c r="I28" s="17" t="s">
        <v>25</v>
      </c>
      <c r="J28" s="17" t="s">
        <v>25</v>
      </c>
      <c r="K28" s="17" t="s">
        <v>25</v>
      </c>
      <c r="L28" s="17" t="s">
        <v>25</v>
      </c>
      <c r="M28" s="17" t="s">
        <v>34</v>
      </c>
      <c r="N28" s="17" t="s">
        <v>25</v>
      </c>
      <c r="O28" s="17" t="s">
        <v>25</v>
      </c>
      <c r="P28" s="17" t="s">
        <v>25</v>
      </c>
      <c r="Q28" s="17" t="s">
        <v>26</v>
      </c>
    </row>
    <row r="29" spans="1:17" ht="30" customHeight="1" x14ac:dyDescent="0.3">
      <c r="A29" s="17" t="s">
        <v>89</v>
      </c>
      <c r="B29" s="17" t="s">
        <v>92</v>
      </c>
      <c r="C29" s="17" t="s">
        <v>36</v>
      </c>
      <c r="D29" s="17" t="s">
        <v>22</v>
      </c>
      <c r="E29" s="18" t="s">
        <v>23</v>
      </c>
      <c r="F29" s="17">
        <v>13</v>
      </c>
      <c r="G29" s="17" t="s">
        <v>24</v>
      </c>
      <c r="H29" s="17" t="s">
        <v>25</v>
      </c>
      <c r="I29" s="17" t="s">
        <v>25</v>
      </c>
      <c r="J29" s="17" t="s">
        <v>25</v>
      </c>
      <c r="K29" s="17" t="s">
        <v>25</v>
      </c>
      <c r="L29" s="17" t="s">
        <v>25</v>
      </c>
      <c r="M29" s="17" t="s">
        <v>25</v>
      </c>
      <c r="N29" s="17" t="s">
        <v>25</v>
      </c>
      <c r="O29" s="17" t="s">
        <v>25</v>
      </c>
      <c r="P29" s="17" t="s">
        <v>25</v>
      </c>
      <c r="Q29" s="17" t="s">
        <v>26</v>
      </c>
    </row>
    <row r="30" spans="1:17" ht="30" customHeight="1" x14ac:dyDescent="0.3">
      <c r="A30" s="17" t="s">
        <v>91</v>
      </c>
      <c r="B30" s="17" t="s">
        <v>94</v>
      </c>
      <c r="C30" s="17" t="s">
        <v>36</v>
      </c>
      <c r="D30" s="17" t="s">
        <v>22</v>
      </c>
      <c r="E30" s="18" t="s">
        <v>23</v>
      </c>
      <c r="F30" s="17">
        <v>13</v>
      </c>
      <c r="G30" s="17" t="s">
        <v>24</v>
      </c>
      <c r="H30" s="17" t="s">
        <v>25</v>
      </c>
      <c r="I30" s="17" t="s">
        <v>25</v>
      </c>
      <c r="J30" s="17" t="s">
        <v>25</v>
      </c>
      <c r="K30" s="17" t="s">
        <v>25</v>
      </c>
      <c r="L30" s="17" t="s">
        <v>25</v>
      </c>
      <c r="M30" s="17" t="s">
        <v>25</v>
      </c>
      <c r="N30" s="17" t="s">
        <v>25</v>
      </c>
      <c r="O30" s="17" t="s">
        <v>25</v>
      </c>
      <c r="P30" s="17" t="s">
        <v>25</v>
      </c>
      <c r="Q30" s="17" t="s">
        <v>26</v>
      </c>
    </row>
    <row r="31" spans="1:17" ht="30" customHeight="1" x14ac:dyDescent="0.3">
      <c r="A31" s="17" t="s">
        <v>93</v>
      </c>
      <c r="B31" s="17" t="s">
        <v>96</v>
      </c>
      <c r="C31" s="17" t="s">
        <v>36</v>
      </c>
      <c r="D31" s="17" t="s">
        <v>22</v>
      </c>
      <c r="E31" s="18" t="s">
        <v>23</v>
      </c>
      <c r="F31" s="17">
        <v>13</v>
      </c>
      <c r="G31" s="17" t="s">
        <v>24</v>
      </c>
      <c r="H31" s="17" t="s">
        <v>25</v>
      </c>
      <c r="I31" s="17" t="s">
        <v>25</v>
      </c>
      <c r="J31" s="17" t="s">
        <v>25</v>
      </c>
      <c r="K31" s="17" t="s">
        <v>25</v>
      </c>
      <c r="L31" s="17" t="s">
        <v>25</v>
      </c>
      <c r="M31" s="17" t="s">
        <v>25</v>
      </c>
      <c r="N31" s="17" t="s">
        <v>25</v>
      </c>
      <c r="O31" s="17" t="s">
        <v>25</v>
      </c>
      <c r="P31" s="17" t="s">
        <v>25</v>
      </c>
      <c r="Q31" s="17" t="s">
        <v>26</v>
      </c>
    </row>
    <row r="32" spans="1:17" ht="30" customHeight="1" x14ac:dyDescent="0.3">
      <c r="A32" s="17" t="s">
        <v>95</v>
      </c>
      <c r="B32" s="17" t="s">
        <v>98</v>
      </c>
      <c r="C32" s="17" t="s">
        <v>36</v>
      </c>
      <c r="D32" s="17" t="s">
        <v>22</v>
      </c>
      <c r="E32" s="18" t="s">
        <v>23</v>
      </c>
      <c r="F32" s="17">
        <v>13</v>
      </c>
      <c r="G32" s="17" t="s">
        <v>24</v>
      </c>
      <c r="H32" s="17" t="s">
        <v>25</v>
      </c>
      <c r="I32" s="17" t="s">
        <v>25</v>
      </c>
      <c r="J32" s="17" t="s">
        <v>25</v>
      </c>
      <c r="K32" s="17" t="s">
        <v>37</v>
      </c>
      <c r="L32" s="17" t="s">
        <v>25</v>
      </c>
      <c r="M32" s="17" t="s">
        <v>25</v>
      </c>
      <c r="N32" s="17" t="s">
        <v>25</v>
      </c>
      <c r="O32" s="17" t="s">
        <v>25</v>
      </c>
      <c r="P32" s="17" t="s">
        <v>25</v>
      </c>
      <c r="Q32" s="17" t="s">
        <v>26</v>
      </c>
    </row>
    <row r="33" spans="1:17" ht="30" customHeight="1" x14ac:dyDescent="0.3">
      <c r="A33" s="17" t="s">
        <v>97</v>
      </c>
      <c r="B33" s="17" t="s">
        <v>100</v>
      </c>
      <c r="C33" s="17" t="s">
        <v>36</v>
      </c>
      <c r="D33" s="17" t="s">
        <v>22</v>
      </c>
      <c r="E33" s="18" t="s">
        <v>23</v>
      </c>
      <c r="F33" s="17">
        <v>13</v>
      </c>
      <c r="G33" s="17" t="s">
        <v>31</v>
      </c>
      <c r="H33" s="17" t="s">
        <v>25</v>
      </c>
      <c r="I33" s="17" t="s">
        <v>25</v>
      </c>
      <c r="J33" s="17" t="s">
        <v>101</v>
      </c>
      <c r="K33" s="17" t="s">
        <v>25</v>
      </c>
      <c r="L33" s="17" t="s">
        <v>25</v>
      </c>
      <c r="M33" s="17" t="s">
        <v>25</v>
      </c>
      <c r="N33" s="17" t="s">
        <v>25</v>
      </c>
      <c r="O33" s="17" t="s">
        <v>49</v>
      </c>
      <c r="P33" s="17" t="s">
        <v>25</v>
      </c>
      <c r="Q33" s="17" t="s">
        <v>26</v>
      </c>
    </row>
    <row r="34" spans="1:17" ht="30" customHeight="1" x14ac:dyDescent="0.3">
      <c r="A34" s="17" t="s">
        <v>99</v>
      </c>
      <c r="B34" s="19" t="s">
        <v>257</v>
      </c>
      <c r="C34" s="17" t="s">
        <v>36</v>
      </c>
      <c r="D34" s="17" t="s">
        <v>22</v>
      </c>
      <c r="E34" s="18" t="s">
        <v>23</v>
      </c>
      <c r="F34" s="17">
        <v>13</v>
      </c>
      <c r="G34" s="17" t="s">
        <v>31</v>
      </c>
      <c r="H34" s="17" t="s">
        <v>25</v>
      </c>
      <c r="I34" s="17" t="s">
        <v>25</v>
      </c>
      <c r="J34" s="17" t="s">
        <v>104</v>
      </c>
      <c r="K34" s="17" t="s">
        <v>25</v>
      </c>
      <c r="L34" s="17" t="s">
        <v>25</v>
      </c>
      <c r="M34" s="17" t="s">
        <v>25</v>
      </c>
      <c r="N34" s="17" t="s">
        <v>25</v>
      </c>
      <c r="O34" s="17" t="s">
        <v>49</v>
      </c>
      <c r="P34" s="17" t="s">
        <v>25</v>
      </c>
      <c r="Q34" s="17" t="s">
        <v>26</v>
      </c>
    </row>
    <row r="35" spans="1:17" ht="30" customHeight="1" x14ac:dyDescent="0.3">
      <c r="A35" s="17" t="s">
        <v>102</v>
      </c>
      <c r="B35" s="19" t="s">
        <v>106</v>
      </c>
      <c r="C35" s="17" t="s">
        <v>36</v>
      </c>
      <c r="D35" s="17" t="s">
        <v>22</v>
      </c>
      <c r="E35" s="18" t="s">
        <v>23</v>
      </c>
      <c r="F35" s="17">
        <v>13</v>
      </c>
      <c r="G35" s="17" t="s">
        <v>31</v>
      </c>
      <c r="H35" s="17" t="s">
        <v>25</v>
      </c>
      <c r="I35" s="17" t="s">
        <v>25</v>
      </c>
      <c r="J35" s="17" t="s">
        <v>107</v>
      </c>
      <c r="K35" s="17" t="s">
        <v>25</v>
      </c>
      <c r="L35" s="17" t="s">
        <v>25</v>
      </c>
      <c r="M35" s="17" t="s">
        <v>25</v>
      </c>
      <c r="N35" s="17" t="s">
        <v>25</v>
      </c>
      <c r="O35" s="17" t="s">
        <v>49</v>
      </c>
      <c r="P35" s="17" t="s">
        <v>25</v>
      </c>
      <c r="Q35" s="17" t="s">
        <v>26</v>
      </c>
    </row>
    <row r="36" spans="1:17" ht="30" customHeight="1" x14ac:dyDescent="0.3">
      <c r="A36" s="17" t="s">
        <v>105</v>
      </c>
      <c r="B36" s="19" t="s">
        <v>258</v>
      </c>
      <c r="C36" s="17" t="s">
        <v>36</v>
      </c>
      <c r="D36" s="17" t="s">
        <v>22</v>
      </c>
      <c r="E36" s="18" t="s">
        <v>23</v>
      </c>
      <c r="F36" s="17">
        <v>13</v>
      </c>
      <c r="G36" s="17" t="s">
        <v>31</v>
      </c>
      <c r="H36" s="17" t="s">
        <v>25</v>
      </c>
      <c r="I36" s="17" t="s">
        <v>25</v>
      </c>
      <c r="J36" s="17" t="s">
        <v>110</v>
      </c>
      <c r="K36" s="17" t="s">
        <v>25</v>
      </c>
      <c r="L36" s="17" t="s">
        <v>25</v>
      </c>
      <c r="M36" s="17" t="s">
        <v>25</v>
      </c>
      <c r="N36" s="17" t="s">
        <v>25</v>
      </c>
      <c r="O36" s="17" t="s">
        <v>49</v>
      </c>
      <c r="P36" s="17" t="s">
        <v>25</v>
      </c>
      <c r="Q36" s="17" t="s">
        <v>26</v>
      </c>
    </row>
    <row r="37" spans="1:17" ht="30" customHeight="1" x14ac:dyDescent="0.3">
      <c r="A37" s="17" t="s">
        <v>108</v>
      </c>
      <c r="B37" s="17" t="s">
        <v>112</v>
      </c>
      <c r="C37" s="17" t="s">
        <v>36</v>
      </c>
      <c r="D37" s="17" t="s">
        <v>22</v>
      </c>
      <c r="E37" s="18" t="s">
        <v>23</v>
      </c>
      <c r="F37" s="17">
        <v>21</v>
      </c>
      <c r="G37" s="17" t="s">
        <v>31</v>
      </c>
      <c r="H37" s="17" t="s">
        <v>25</v>
      </c>
      <c r="I37" s="17" t="s">
        <v>25</v>
      </c>
      <c r="J37" s="17" t="s">
        <v>25</v>
      </c>
      <c r="K37" s="17" t="s">
        <v>25</v>
      </c>
      <c r="L37" s="17" t="s">
        <v>25</v>
      </c>
      <c r="M37" s="17" t="s">
        <v>25</v>
      </c>
      <c r="N37" s="17" t="s">
        <v>25</v>
      </c>
      <c r="O37" s="17" t="s">
        <v>25</v>
      </c>
      <c r="P37" s="17" t="s">
        <v>25</v>
      </c>
      <c r="Q37" s="17" t="s">
        <v>26</v>
      </c>
    </row>
    <row r="38" spans="1:17" ht="30" customHeight="1" x14ac:dyDescent="0.3">
      <c r="A38" s="17" t="s">
        <v>111</v>
      </c>
      <c r="B38" s="17" t="s">
        <v>114</v>
      </c>
      <c r="C38" s="17" t="s">
        <v>36</v>
      </c>
      <c r="D38" s="17" t="s">
        <v>22</v>
      </c>
      <c r="E38" s="18" t="s">
        <v>23</v>
      </c>
      <c r="F38" s="17">
        <v>21</v>
      </c>
      <c r="G38" s="17" t="s">
        <v>31</v>
      </c>
      <c r="H38" s="17" t="s">
        <v>25</v>
      </c>
      <c r="I38" s="17" t="s">
        <v>25</v>
      </c>
      <c r="J38" s="17" t="s">
        <v>25</v>
      </c>
      <c r="K38" s="17" t="s">
        <v>25</v>
      </c>
      <c r="L38" s="17" t="s">
        <v>25</v>
      </c>
      <c r="M38" s="17" t="s">
        <v>25</v>
      </c>
      <c r="N38" s="17" t="s">
        <v>25</v>
      </c>
      <c r="O38" s="17" t="s">
        <v>25</v>
      </c>
      <c r="P38" s="17" t="s">
        <v>25</v>
      </c>
      <c r="Q38" s="17" t="s">
        <v>26</v>
      </c>
    </row>
    <row r="39" spans="1:17" ht="30" customHeight="1" x14ac:dyDescent="0.3">
      <c r="A39" s="17" t="s">
        <v>113</v>
      </c>
      <c r="B39" s="17" t="s">
        <v>116</v>
      </c>
      <c r="C39" s="17" t="s">
        <v>36</v>
      </c>
      <c r="D39" s="17" t="s">
        <v>22</v>
      </c>
      <c r="E39" s="18" t="s">
        <v>23</v>
      </c>
      <c r="F39" s="17">
        <v>21</v>
      </c>
      <c r="G39" s="17" t="s">
        <v>31</v>
      </c>
      <c r="H39" s="17" t="s">
        <v>25</v>
      </c>
      <c r="I39" s="17" t="s">
        <v>25</v>
      </c>
      <c r="J39" s="17" t="s">
        <v>25</v>
      </c>
      <c r="K39" s="17" t="s">
        <v>25</v>
      </c>
      <c r="L39" s="17" t="s">
        <v>25</v>
      </c>
      <c r="M39" s="17" t="s">
        <v>25</v>
      </c>
      <c r="N39" s="17" t="s">
        <v>25</v>
      </c>
      <c r="O39" s="17" t="s">
        <v>25</v>
      </c>
      <c r="P39" s="17" t="s">
        <v>117</v>
      </c>
      <c r="Q39" s="17" t="s">
        <v>26</v>
      </c>
    </row>
    <row r="40" spans="1:17" ht="30" customHeight="1" x14ac:dyDescent="0.3">
      <c r="A40" s="17" t="s">
        <v>115</v>
      </c>
      <c r="B40" s="17" t="s">
        <v>259</v>
      </c>
      <c r="C40" s="17" t="s">
        <v>36</v>
      </c>
      <c r="D40" s="17" t="s">
        <v>22</v>
      </c>
      <c r="E40" s="18" t="s">
        <v>23</v>
      </c>
      <c r="F40" s="17">
        <v>21</v>
      </c>
      <c r="G40" s="17" t="s">
        <v>31</v>
      </c>
      <c r="H40" s="17" t="s">
        <v>25</v>
      </c>
      <c r="I40" s="17" t="s">
        <v>25</v>
      </c>
      <c r="J40" s="17" t="s">
        <v>25</v>
      </c>
      <c r="K40" s="17" t="s">
        <v>25</v>
      </c>
      <c r="L40" s="17" t="s">
        <v>25</v>
      </c>
      <c r="M40" s="17" t="s">
        <v>25</v>
      </c>
      <c r="N40" s="17" t="s">
        <v>25</v>
      </c>
      <c r="O40" s="17" t="s">
        <v>25</v>
      </c>
      <c r="P40" s="17" t="s">
        <v>25</v>
      </c>
      <c r="Q40" s="17" t="s">
        <v>26</v>
      </c>
    </row>
    <row r="41" spans="1:17" ht="30" customHeight="1" x14ac:dyDescent="0.3">
      <c r="A41" s="17" t="s">
        <v>118</v>
      </c>
      <c r="B41" s="17" t="s">
        <v>121</v>
      </c>
      <c r="C41" s="17" t="s">
        <v>36</v>
      </c>
      <c r="D41" s="17" t="s">
        <v>22</v>
      </c>
      <c r="E41" s="18" t="s">
        <v>23</v>
      </c>
      <c r="F41" s="17">
        <v>21</v>
      </c>
      <c r="G41" s="17" t="s">
        <v>31</v>
      </c>
      <c r="H41" s="17" t="s">
        <v>25</v>
      </c>
      <c r="I41" s="17" t="s">
        <v>25</v>
      </c>
      <c r="J41" s="17" t="s">
        <v>25</v>
      </c>
      <c r="K41" s="17" t="s">
        <v>25</v>
      </c>
      <c r="L41" s="17" t="s">
        <v>25</v>
      </c>
      <c r="M41" s="17" t="s">
        <v>25</v>
      </c>
      <c r="N41" s="17" t="s">
        <v>25</v>
      </c>
      <c r="O41" s="17" t="s">
        <v>25</v>
      </c>
      <c r="P41" s="17" t="s">
        <v>122</v>
      </c>
      <c r="Q41" s="17" t="s">
        <v>26</v>
      </c>
    </row>
    <row r="42" spans="1:17" ht="30" customHeight="1" x14ac:dyDescent="0.3">
      <c r="A42" s="17" t="s">
        <v>120</v>
      </c>
      <c r="B42" s="17" t="s">
        <v>124</v>
      </c>
      <c r="C42" s="17" t="s">
        <v>36</v>
      </c>
      <c r="D42" s="17" t="s">
        <v>22</v>
      </c>
      <c r="E42" s="18" t="s">
        <v>23</v>
      </c>
      <c r="F42" s="17">
        <v>21</v>
      </c>
      <c r="G42" s="17" t="s">
        <v>31</v>
      </c>
      <c r="H42" s="17" t="s">
        <v>25</v>
      </c>
      <c r="I42" s="17" t="s">
        <v>25</v>
      </c>
      <c r="J42" s="17" t="s">
        <v>25</v>
      </c>
      <c r="K42" s="17" t="s">
        <v>25</v>
      </c>
      <c r="L42" s="17" t="s">
        <v>25</v>
      </c>
      <c r="M42" s="17" t="s">
        <v>25</v>
      </c>
      <c r="N42" s="17" t="s">
        <v>25</v>
      </c>
      <c r="O42" s="17" t="s">
        <v>25</v>
      </c>
      <c r="P42" s="17" t="s">
        <v>25</v>
      </c>
      <c r="Q42" s="17" t="s">
        <v>26</v>
      </c>
    </row>
    <row r="43" spans="1:17" ht="30" customHeight="1" x14ac:dyDescent="0.3">
      <c r="A43" s="17" t="s">
        <v>123</v>
      </c>
      <c r="B43" s="17" t="s">
        <v>127</v>
      </c>
      <c r="C43" s="17" t="s">
        <v>36</v>
      </c>
      <c r="D43" s="17" t="s">
        <v>22</v>
      </c>
      <c r="E43" s="18" t="s">
        <v>23</v>
      </c>
      <c r="F43" s="17">
        <v>21</v>
      </c>
      <c r="G43" s="17" t="s">
        <v>31</v>
      </c>
      <c r="H43" s="17" t="s">
        <v>25</v>
      </c>
      <c r="I43" s="17" t="s">
        <v>25</v>
      </c>
      <c r="J43" s="17" t="s">
        <v>25</v>
      </c>
      <c r="K43" s="17" t="s">
        <v>25</v>
      </c>
      <c r="L43" s="17" t="s">
        <v>25</v>
      </c>
      <c r="M43" s="17" t="s">
        <v>25</v>
      </c>
      <c r="N43" s="17" t="s">
        <v>25</v>
      </c>
      <c r="O43" s="17" t="s">
        <v>25</v>
      </c>
      <c r="P43" s="17" t="s">
        <v>25</v>
      </c>
      <c r="Q43" s="17" t="s">
        <v>26</v>
      </c>
    </row>
    <row r="44" spans="1:17" ht="30" customHeight="1" x14ac:dyDescent="0.3">
      <c r="A44" s="17" t="s">
        <v>126</v>
      </c>
      <c r="B44" s="17" t="s">
        <v>129</v>
      </c>
      <c r="C44" s="17" t="s">
        <v>21</v>
      </c>
      <c r="D44" s="17" t="s">
        <v>22</v>
      </c>
      <c r="E44" s="18" t="s">
        <v>23</v>
      </c>
      <c r="F44" s="17">
        <v>8</v>
      </c>
      <c r="G44" s="17" t="s">
        <v>24</v>
      </c>
      <c r="H44" s="17" t="s">
        <v>25</v>
      </c>
      <c r="I44" s="17" t="s">
        <v>25</v>
      </c>
      <c r="J44" s="17" t="s">
        <v>25</v>
      </c>
      <c r="K44" s="17" t="s">
        <v>25</v>
      </c>
      <c r="L44" s="17" t="s">
        <v>25</v>
      </c>
      <c r="M44" s="17" t="s">
        <v>25</v>
      </c>
      <c r="N44" s="17" t="s">
        <v>128</v>
      </c>
      <c r="O44" s="17" t="s">
        <v>25</v>
      </c>
      <c r="P44" s="17" t="s">
        <v>25</v>
      </c>
      <c r="Q44" s="17" t="s">
        <v>26</v>
      </c>
    </row>
    <row r="45" spans="1:17" ht="30" customHeight="1" x14ac:dyDescent="0.3">
      <c r="A45" s="17" t="s">
        <v>128</v>
      </c>
      <c r="B45" s="17" t="s">
        <v>131</v>
      </c>
      <c r="C45" s="17" t="s">
        <v>21</v>
      </c>
      <c r="D45" s="17" t="s">
        <v>22</v>
      </c>
      <c r="E45" s="18" t="s">
        <v>23</v>
      </c>
      <c r="F45" s="17">
        <v>8</v>
      </c>
      <c r="G45" s="17" t="s">
        <v>24</v>
      </c>
      <c r="H45" s="17" t="s">
        <v>25</v>
      </c>
      <c r="I45" s="17" t="s">
        <v>25</v>
      </c>
      <c r="J45" s="17" t="s">
        <v>25</v>
      </c>
      <c r="K45" s="17" t="s">
        <v>25</v>
      </c>
      <c r="L45" s="17" t="s">
        <v>25</v>
      </c>
      <c r="M45" s="17" t="s">
        <v>25</v>
      </c>
      <c r="N45" s="17" t="s">
        <v>25</v>
      </c>
      <c r="O45" s="17" t="s">
        <v>25</v>
      </c>
      <c r="P45" s="17" t="s">
        <v>25</v>
      </c>
      <c r="Q45" s="17" t="s">
        <v>26</v>
      </c>
    </row>
    <row r="46" spans="1:17" ht="30" customHeight="1" x14ac:dyDescent="0.3">
      <c r="A46" s="17" t="s">
        <v>130</v>
      </c>
      <c r="B46" s="17" t="s">
        <v>133</v>
      </c>
      <c r="C46" s="17" t="s">
        <v>21</v>
      </c>
      <c r="D46" s="17" t="s">
        <v>22</v>
      </c>
      <c r="E46" s="18" t="s">
        <v>23</v>
      </c>
      <c r="F46" s="17">
        <v>13</v>
      </c>
      <c r="G46" s="17" t="s">
        <v>31</v>
      </c>
      <c r="H46" s="17" t="s">
        <v>25</v>
      </c>
      <c r="I46" s="17" t="s">
        <v>25</v>
      </c>
      <c r="J46" s="17" t="s">
        <v>25</v>
      </c>
      <c r="K46" s="17" t="s">
        <v>25</v>
      </c>
      <c r="L46" s="17" t="s">
        <v>25</v>
      </c>
      <c r="M46" s="17" t="s">
        <v>25</v>
      </c>
      <c r="N46" s="17" t="s">
        <v>25</v>
      </c>
      <c r="O46" s="17" t="s">
        <v>25</v>
      </c>
      <c r="P46" s="17" t="s">
        <v>25</v>
      </c>
      <c r="Q46" s="17" t="s">
        <v>26</v>
      </c>
    </row>
    <row r="47" spans="1:17" ht="30" customHeight="1" x14ac:dyDescent="0.3">
      <c r="A47" s="17" t="s">
        <v>132</v>
      </c>
      <c r="B47" s="17" t="s">
        <v>135</v>
      </c>
      <c r="C47" s="17" t="s">
        <v>36</v>
      </c>
      <c r="D47" s="17" t="s">
        <v>22</v>
      </c>
      <c r="E47" s="18" t="s">
        <v>23</v>
      </c>
      <c r="F47" s="17">
        <v>21</v>
      </c>
      <c r="G47" s="17" t="s">
        <v>31</v>
      </c>
      <c r="H47" s="17" t="s">
        <v>25</v>
      </c>
      <c r="I47" s="17" t="s">
        <v>25</v>
      </c>
      <c r="J47" s="17" t="s">
        <v>25</v>
      </c>
      <c r="K47" s="17" t="s">
        <v>25</v>
      </c>
      <c r="L47" s="17" t="s">
        <v>25</v>
      </c>
      <c r="M47" s="17" t="s">
        <v>25</v>
      </c>
      <c r="N47" s="17" t="s">
        <v>25</v>
      </c>
      <c r="O47" s="17" t="s">
        <v>25</v>
      </c>
      <c r="P47" s="17" t="s">
        <v>136</v>
      </c>
      <c r="Q47" s="17" t="s">
        <v>26</v>
      </c>
    </row>
    <row r="48" spans="1:17" ht="30" customHeight="1" x14ac:dyDescent="0.3">
      <c r="A48" s="17" t="s">
        <v>134</v>
      </c>
      <c r="B48" s="17" t="s">
        <v>138</v>
      </c>
      <c r="C48" s="17" t="s">
        <v>36</v>
      </c>
      <c r="D48" s="17" t="s">
        <v>22</v>
      </c>
      <c r="E48" s="18" t="s">
        <v>23</v>
      </c>
      <c r="F48" s="17">
        <v>13</v>
      </c>
      <c r="G48" s="17" t="s">
        <v>31</v>
      </c>
      <c r="H48" s="17" t="s">
        <v>25</v>
      </c>
      <c r="I48" s="17" t="s">
        <v>25</v>
      </c>
      <c r="J48" s="17" t="s">
        <v>25</v>
      </c>
      <c r="K48" s="17" t="s">
        <v>25</v>
      </c>
      <c r="L48" s="17" t="s">
        <v>25</v>
      </c>
      <c r="M48" s="17" t="s">
        <v>25</v>
      </c>
      <c r="N48" s="17" t="s">
        <v>25</v>
      </c>
      <c r="O48" s="17" t="s">
        <v>25</v>
      </c>
      <c r="P48" s="17" t="s">
        <v>25</v>
      </c>
      <c r="Q48" s="17" t="s">
        <v>26</v>
      </c>
    </row>
    <row r="49" spans="1:17" ht="30" customHeight="1" x14ac:dyDescent="0.3">
      <c r="A49" s="17" t="s">
        <v>137</v>
      </c>
      <c r="B49" s="17" t="s">
        <v>140</v>
      </c>
      <c r="C49" s="17" t="s">
        <v>36</v>
      </c>
      <c r="D49" s="17" t="s">
        <v>22</v>
      </c>
      <c r="E49" s="18" t="s">
        <v>23</v>
      </c>
      <c r="F49" s="17">
        <v>8</v>
      </c>
      <c r="G49" s="17" t="s">
        <v>24</v>
      </c>
      <c r="H49" s="17" t="s">
        <v>25</v>
      </c>
      <c r="I49" s="17" t="s">
        <v>25</v>
      </c>
      <c r="J49" s="17" t="s">
        <v>25</v>
      </c>
      <c r="K49" s="17" t="s">
        <v>25</v>
      </c>
      <c r="L49" s="17" t="s">
        <v>25</v>
      </c>
      <c r="M49" s="17" t="s">
        <v>25</v>
      </c>
      <c r="N49" s="17" t="s">
        <v>25</v>
      </c>
      <c r="O49" s="17" t="s">
        <v>25</v>
      </c>
      <c r="P49" s="17" t="s">
        <v>141</v>
      </c>
      <c r="Q49" s="17" t="s">
        <v>26</v>
      </c>
    </row>
    <row r="50" spans="1:17" ht="30" customHeight="1" x14ac:dyDescent="0.3">
      <c r="A50" s="17" t="s">
        <v>139</v>
      </c>
      <c r="B50" s="17" t="s">
        <v>143</v>
      </c>
      <c r="C50" s="17" t="s">
        <v>36</v>
      </c>
      <c r="D50" s="17" t="s">
        <v>144</v>
      </c>
      <c r="E50" s="18" t="s">
        <v>23</v>
      </c>
      <c r="F50" s="17">
        <v>21</v>
      </c>
      <c r="G50" s="17" t="s">
        <v>31</v>
      </c>
      <c r="H50" s="17" t="s">
        <v>25</v>
      </c>
      <c r="I50" s="17" t="s">
        <v>25</v>
      </c>
      <c r="J50" s="17" t="s">
        <v>25</v>
      </c>
      <c r="K50" s="17" t="s">
        <v>25</v>
      </c>
      <c r="L50" s="17" t="s">
        <v>25</v>
      </c>
      <c r="M50" s="17" t="s">
        <v>25</v>
      </c>
      <c r="N50" s="17" t="s">
        <v>25</v>
      </c>
      <c r="O50" s="17" t="s">
        <v>25</v>
      </c>
      <c r="P50" s="17" t="s">
        <v>145</v>
      </c>
      <c r="Q50" s="17" t="s">
        <v>26</v>
      </c>
    </row>
    <row r="51" spans="1:17" ht="30" customHeight="1" x14ac:dyDescent="0.3">
      <c r="A51" s="17" t="s">
        <v>142</v>
      </c>
      <c r="B51" s="17" t="s">
        <v>244</v>
      </c>
      <c r="C51" s="17" t="s">
        <v>36</v>
      </c>
      <c r="D51" s="17" t="s">
        <v>144</v>
      </c>
      <c r="E51" s="18" t="s">
        <v>23</v>
      </c>
      <c r="F51" s="17">
        <v>8</v>
      </c>
      <c r="G51" s="17" t="s">
        <v>31</v>
      </c>
      <c r="H51" s="17" t="s">
        <v>25</v>
      </c>
      <c r="I51" s="17" t="s">
        <v>25</v>
      </c>
      <c r="J51" s="17" t="s">
        <v>256</v>
      </c>
      <c r="K51" s="17" t="s">
        <v>25</v>
      </c>
      <c r="L51" s="17" t="s">
        <v>25</v>
      </c>
      <c r="M51" s="17" t="s">
        <v>25</v>
      </c>
      <c r="N51" s="17" t="s">
        <v>25</v>
      </c>
      <c r="O51" s="17" t="s">
        <v>25</v>
      </c>
      <c r="P51" s="17" t="s">
        <v>25</v>
      </c>
      <c r="Q51" s="17" t="s">
        <v>26</v>
      </c>
    </row>
    <row r="52" spans="1:17" ht="30" customHeight="1" x14ac:dyDescent="0.3">
      <c r="A52" s="17" t="s">
        <v>249</v>
      </c>
      <c r="B52" s="17" t="s">
        <v>260</v>
      </c>
      <c r="C52" s="17" t="s">
        <v>36</v>
      </c>
      <c r="D52" s="17" t="s">
        <v>144</v>
      </c>
      <c r="E52" s="18" t="s">
        <v>23</v>
      </c>
      <c r="F52" s="17">
        <v>8</v>
      </c>
      <c r="G52" s="17" t="s">
        <v>24</v>
      </c>
      <c r="H52" s="17" t="s">
        <v>25</v>
      </c>
      <c r="I52" s="17" t="s">
        <v>25</v>
      </c>
      <c r="J52" s="17" t="s">
        <v>25</v>
      </c>
      <c r="K52" s="17" t="s">
        <v>25</v>
      </c>
      <c r="L52" s="17" t="s">
        <v>25</v>
      </c>
      <c r="M52" s="17" t="s">
        <v>25</v>
      </c>
      <c r="N52" s="17" t="s">
        <v>25</v>
      </c>
      <c r="O52" s="17" t="s">
        <v>25</v>
      </c>
      <c r="P52" s="17" t="s">
        <v>25</v>
      </c>
      <c r="Q52" s="17" t="s">
        <v>26</v>
      </c>
    </row>
    <row r="53" spans="1:17" ht="30" customHeight="1" x14ac:dyDescent="0.3">
      <c r="A53" s="17" t="s">
        <v>250</v>
      </c>
      <c r="B53" s="17" t="s">
        <v>245</v>
      </c>
      <c r="C53" s="17" t="s">
        <v>21</v>
      </c>
      <c r="D53" s="17" t="s">
        <v>22</v>
      </c>
      <c r="E53" s="18" t="s">
        <v>23</v>
      </c>
      <c r="F53" s="17">
        <v>8</v>
      </c>
      <c r="G53" s="17" t="s">
        <v>24</v>
      </c>
      <c r="H53" s="17" t="s">
        <v>25</v>
      </c>
      <c r="I53" s="17" t="s">
        <v>25</v>
      </c>
      <c r="J53" s="17" t="s">
        <v>25</v>
      </c>
      <c r="K53" s="17" t="s">
        <v>25</v>
      </c>
      <c r="L53" s="17" t="s">
        <v>25</v>
      </c>
      <c r="M53" s="17" t="s">
        <v>25</v>
      </c>
      <c r="N53" s="17" t="s">
        <v>25</v>
      </c>
      <c r="O53" s="17" t="s">
        <v>25</v>
      </c>
      <c r="P53" s="17" t="s">
        <v>25</v>
      </c>
      <c r="Q53" s="17" t="s">
        <v>26</v>
      </c>
    </row>
    <row r="54" spans="1:17" ht="30" customHeight="1" x14ac:dyDescent="0.3">
      <c r="A54" s="17" t="s">
        <v>251</v>
      </c>
      <c r="B54" s="17" t="s">
        <v>246</v>
      </c>
      <c r="C54" s="17" t="s">
        <v>21</v>
      </c>
      <c r="D54" s="17" t="s">
        <v>22</v>
      </c>
      <c r="E54" s="18" t="s">
        <v>23</v>
      </c>
      <c r="F54" s="17">
        <v>13</v>
      </c>
      <c r="G54" s="17" t="s">
        <v>24</v>
      </c>
      <c r="H54" s="17" t="s">
        <v>25</v>
      </c>
      <c r="I54" s="17" t="s">
        <v>25</v>
      </c>
      <c r="J54" s="17" t="s">
        <v>25</v>
      </c>
      <c r="K54" s="17" t="s">
        <v>25</v>
      </c>
      <c r="L54" s="17" t="s">
        <v>25</v>
      </c>
      <c r="M54" s="17" t="s">
        <v>25</v>
      </c>
      <c r="N54" s="17" t="s">
        <v>25</v>
      </c>
      <c r="O54" s="17" t="s">
        <v>25</v>
      </c>
      <c r="P54" s="17" t="s">
        <v>25</v>
      </c>
      <c r="Q54" s="17" t="s">
        <v>26</v>
      </c>
    </row>
    <row r="55" spans="1:17" ht="30" customHeight="1" x14ac:dyDescent="0.3">
      <c r="A55" s="17" t="s">
        <v>252</v>
      </c>
      <c r="B55" s="17" t="s">
        <v>247</v>
      </c>
      <c r="C55" s="17" t="s">
        <v>36</v>
      </c>
      <c r="D55" s="17" t="s">
        <v>22</v>
      </c>
      <c r="E55" s="18" t="s">
        <v>23</v>
      </c>
      <c r="F55" s="17">
        <v>8</v>
      </c>
      <c r="G55" s="17" t="s">
        <v>31</v>
      </c>
      <c r="H55" s="17" t="s">
        <v>25</v>
      </c>
      <c r="I55" s="17" t="s">
        <v>25</v>
      </c>
      <c r="J55" s="17" t="s">
        <v>25</v>
      </c>
      <c r="K55" s="17" t="s">
        <v>25</v>
      </c>
      <c r="L55" s="17" t="s">
        <v>25</v>
      </c>
      <c r="M55" s="17" t="s">
        <v>25</v>
      </c>
      <c r="N55" s="17" t="s">
        <v>25</v>
      </c>
      <c r="O55" s="17" t="s">
        <v>25</v>
      </c>
      <c r="P55" s="17" t="s">
        <v>25</v>
      </c>
      <c r="Q55" s="17" t="s">
        <v>26</v>
      </c>
    </row>
    <row r="56" spans="1:17" ht="30" customHeight="1" x14ac:dyDescent="0.3">
      <c r="A56" s="17" t="s">
        <v>253</v>
      </c>
      <c r="B56" s="17" t="s">
        <v>248</v>
      </c>
      <c r="C56" s="17" t="s">
        <v>36</v>
      </c>
      <c r="D56" s="17" t="s">
        <v>22</v>
      </c>
      <c r="E56" s="18" t="s">
        <v>23</v>
      </c>
      <c r="F56" s="17">
        <v>8</v>
      </c>
      <c r="G56" s="17" t="s">
        <v>31</v>
      </c>
      <c r="H56" s="17" t="s">
        <v>25</v>
      </c>
      <c r="I56" s="17" t="s">
        <v>25</v>
      </c>
      <c r="J56" s="17" t="s">
        <v>25</v>
      </c>
      <c r="K56" s="17" t="s">
        <v>25</v>
      </c>
      <c r="L56" s="17" t="s">
        <v>25</v>
      </c>
      <c r="M56" s="17" t="s">
        <v>25</v>
      </c>
      <c r="N56" s="17" t="s">
        <v>25</v>
      </c>
      <c r="O56" s="17" t="s">
        <v>25</v>
      </c>
      <c r="P56" s="17" t="s">
        <v>25</v>
      </c>
      <c r="Q56" s="17" t="s">
        <v>26</v>
      </c>
    </row>
    <row r="57" spans="1:17" ht="30" customHeight="1" x14ac:dyDescent="0.3">
      <c r="A57" s="17" t="s">
        <v>254</v>
      </c>
      <c r="B57" s="17" t="s">
        <v>268</v>
      </c>
      <c r="C57" s="17" t="s">
        <v>36</v>
      </c>
      <c r="D57" s="17" t="s">
        <v>22</v>
      </c>
      <c r="E57" s="18" t="s">
        <v>23</v>
      </c>
      <c r="F57" s="17">
        <v>8</v>
      </c>
      <c r="G57" s="17" t="s">
        <v>31</v>
      </c>
      <c r="H57" s="17" t="s">
        <v>25</v>
      </c>
      <c r="I57" s="17" t="s">
        <v>25</v>
      </c>
      <c r="J57" s="17" t="s">
        <v>25</v>
      </c>
      <c r="K57" s="17" t="s">
        <v>25</v>
      </c>
      <c r="L57" s="17" t="s">
        <v>25</v>
      </c>
      <c r="M57" s="17" t="s">
        <v>25</v>
      </c>
      <c r="N57" s="17" t="s">
        <v>25</v>
      </c>
      <c r="O57" s="17" t="s">
        <v>25</v>
      </c>
      <c r="P57" s="17" t="s">
        <v>25</v>
      </c>
      <c r="Q57" s="17" t="s">
        <v>26</v>
      </c>
    </row>
    <row r="58" spans="1:17" ht="30" customHeight="1" x14ac:dyDescent="0.3">
      <c r="A58" s="17" t="s">
        <v>255</v>
      </c>
      <c r="B58" s="17" t="s">
        <v>269</v>
      </c>
      <c r="C58" s="17" t="s">
        <v>36</v>
      </c>
      <c r="D58" s="17" t="s">
        <v>22</v>
      </c>
      <c r="E58" s="18" t="s">
        <v>23</v>
      </c>
      <c r="F58" s="17">
        <v>8</v>
      </c>
      <c r="G58" s="17" t="s">
        <v>31</v>
      </c>
      <c r="H58" s="17" t="s">
        <v>25</v>
      </c>
      <c r="I58" s="17" t="s">
        <v>25</v>
      </c>
      <c r="J58" s="17" t="s">
        <v>25</v>
      </c>
      <c r="K58" s="17" t="s">
        <v>25</v>
      </c>
      <c r="L58" s="17" t="s">
        <v>25</v>
      </c>
      <c r="M58" s="17" t="s">
        <v>25</v>
      </c>
      <c r="N58" s="17" t="s">
        <v>25</v>
      </c>
      <c r="O58" s="17" t="s">
        <v>25</v>
      </c>
      <c r="P58" s="17" t="s">
        <v>25</v>
      </c>
      <c r="Q58" s="17" t="s">
        <v>26</v>
      </c>
    </row>
    <row r="59" spans="1:17" ht="30" customHeight="1" x14ac:dyDescent="0.3">
      <c r="A59" s="17" t="s">
        <v>261</v>
      </c>
      <c r="B59" s="17" t="s">
        <v>270</v>
      </c>
      <c r="C59" s="17" t="s">
        <v>36</v>
      </c>
      <c r="D59" s="17" t="s">
        <v>22</v>
      </c>
      <c r="E59" s="18" t="s">
        <v>23</v>
      </c>
      <c r="F59" s="17">
        <v>8</v>
      </c>
      <c r="G59" s="17" t="s">
        <v>31</v>
      </c>
      <c r="H59" s="17" t="s">
        <v>25</v>
      </c>
      <c r="I59" s="17" t="s">
        <v>25</v>
      </c>
      <c r="J59" s="17" t="s">
        <v>25</v>
      </c>
      <c r="K59" s="17" t="s">
        <v>25</v>
      </c>
      <c r="L59" s="17" t="s">
        <v>25</v>
      </c>
      <c r="M59" s="17" t="s">
        <v>25</v>
      </c>
      <c r="N59" s="17" t="s">
        <v>25</v>
      </c>
      <c r="O59" s="17" t="s">
        <v>25</v>
      </c>
      <c r="P59" s="17" t="s">
        <v>25</v>
      </c>
      <c r="Q59" s="17" t="s">
        <v>26</v>
      </c>
    </row>
    <row r="60" spans="1:17" ht="30" customHeight="1" x14ac:dyDescent="0.3">
      <c r="A60" s="17" t="s">
        <v>262</v>
      </c>
      <c r="B60" s="17" t="s">
        <v>271</v>
      </c>
      <c r="C60" s="17" t="s">
        <v>36</v>
      </c>
      <c r="D60" s="17" t="s">
        <v>22</v>
      </c>
      <c r="E60" s="18" t="s">
        <v>23</v>
      </c>
      <c r="F60" s="17">
        <v>8</v>
      </c>
      <c r="G60" s="17" t="s">
        <v>31</v>
      </c>
      <c r="H60" s="17" t="s">
        <v>25</v>
      </c>
      <c r="I60" s="17" t="s">
        <v>25</v>
      </c>
      <c r="J60" s="17" t="s">
        <v>104</v>
      </c>
      <c r="K60" s="17" t="s">
        <v>25</v>
      </c>
      <c r="L60" s="17" t="s">
        <v>25</v>
      </c>
      <c r="M60" s="17" t="s">
        <v>25</v>
      </c>
      <c r="N60" s="17" t="s">
        <v>25</v>
      </c>
      <c r="O60" s="17" t="s">
        <v>25</v>
      </c>
      <c r="P60" s="17" t="s">
        <v>25</v>
      </c>
      <c r="Q60" s="17" t="s">
        <v>26</v>
      </c>
    </row>
    <row r="61" spans="1:17" ht="30" customHeight="1" x14ac:dyDescent="0.3">
      <c r="A61" s="17" t="s">
        <v>263</v>
      </c>
      <c r="B61" s="17" t="s">
        <v>272</v>
      </c>
      <c r="C61" s="17" t="s">
        <v>36</v>
      </c>
      <c r="D61" s="17" t="s">
        <v>22</v>
      </c>
      <c r="E61" s="18" t="s">
        <v>23</v>
      </c>
      <c r="F61" s="17">
        <v>8</v>
      </c>
      <c r="G61" s="17" t="s">
        <v>31</v>
      </c>
      <c r="H61" s="17" t="s">
        <v>25</v>
      </c>
      <c r="I61" s="17" t="s">
        <v>25</v>
      </c>
      <c r="J61" s="17" t="s">
        <v>107</v>
      </c>
      <c r="K61" s="17" t="s">
        <v>25</v>
      </c>
      <c r="L61" s="17" t="s">
        <v>25</v>
      </c>
      <c r="M61" s="17" t="s">
        <v>25</v>
      </c>
      <c r="N61" s="17" t="s">
        <v>25</v>
      </c>
      <c r="O61" s="17" t="s">
        <v>25</v>
      </c>
      <c r="P61" s="17" t="s">
        <v>25</v>
      </c>
      <c r="Q61" s="17" t="s">
        <v>26</v>
      </c>
    </row>
    <row r="62" spans="1:17" ht="30" customHeight="1" x14ac:dyDescent="0.3">
      <c r="A62" s="17" t="s">
        <v>264</v>
      </c>
      <c r="B62" s="17" t="s">
        <v>273</v>
      </c>
      <c r="C62" s="17" t="s">
        <v>36</v>
      </c>
      <c r="D62" s="17" t="s">
        <v>144</v>
      </c>
      <c r="E62" s="18" t="s">
        <v>23</v>
      </c>
      <c r="F62" s="17">
        <v>13</v>
      </c>
      <c r="G62" s="17" t="s">
        <v>31</v>
      </c>
      <c r="H62" s="17" t="s">
        <v>25</v>
      </c>
      <c r="I62" s="17" t="s">
        <v>25</v>
      </c>
      <c r="J62" s="17" t="s">
        <v>25</v>
      </c>
      <c r="K62" s="17" t="s">
        <v>25</v>
      </c>
      <c r="L62" s="17" t="s">
        <v>25</v>
      </c>
      <c r="M62" s="17" t="s">
        <v>25</v>
      </c>
      <c r="N62" s="17" t="s">
        <v>25</v>
      </c>
      <c r="O62" s="17" t="s">
        <v>25</v>
      </c>
      <c r="P62" s="17" t="s">
        <v>25</v>
      </c>
      <c r="Q62" s="17" t="s">
        <v>26</v>
      </c>
    </row>
    <row r="63" spans="1:17" ht="30" customHeight="1" x14ac:dyDescent="0.3">
      <c r="A63" s="17" t="s">
        <v>265</v>
      </c>
      <c r="B63" s="17" t="s">
        <v>274</v>
      </c>
      <c r="C63" s="17" t="s">
        <v>21</v>
      </c>
      <c r="D63" s="17" t="s">
        <v>42</v>
      </c>
      <c r="E63" s="18" t="s">
        <v>23</v>
      </c>
      <c r="F63" s="17">
        <v>8</v>
      </c>
      <c r="G63" s="17" t="s">
        <v>24</v>
      </c>
      <c r="H63" s="17" t="s">
        <v>25</v>
      </c>
      <c r="I63" s="17" t="s">
        <v>25</v>
      </c>
      <c r="J63" s="17" t="s">
        <v>25</v>
      </c>
      <c r="K63" s="17" t="s">
        <v>25</v>
      </c>
      <c r="L63" s="17" t="s">
        <v>25</v>
      </c>
      <c r="M63" s="17" t="s">
        <v>25</v>
      </c>
      <c r="N63" s="17" t="s">
        <v>25</v>
      </c>
      <c r="O63" s="17" t="s">
        <v>25</v>
      </c>
      <c r="P63" s="17" t="s">
        <v>25</v>
      </c>
      <c r="Q63" s="17" t="s">
        <v>26</v>
      </c>
    </row>
    <row r="64" spans="1:17" ht="30" customHeight="1" x14ac:dyDescent="0.3">
      <c r="A64" s="17" t="s">
        <v>266</v>
      </c>
      <c r="B64" s="17" t="s">
        <v>275</v>
      </c>
      <c r="C64" s="17" t="s">
        <v>21</v>
      </c>
      <c r="D64" s="17" t="s">
        <v>144</v>
      </c>
      <c r="E64" s="18" t="s">
        <v>23</v>
      </c>
      <c r="F64" s="17">
        <v>8</v>
      </c>
      <c r="G64" s="17" t="s">
        <v>24</v>
      </c>
      <c r="H64" s="17" t="s">
        <v>25</v>
      </c>
      <c r="I64" s="17" t="s">
        <v>25</v>
      </c>
      <c r="J64" s="17" t="s">
        <v>25</v>
      </c>
      <c r="K64" s="17" t="s">
        <v>25</v>
      </c>
      <c r="L64" s="17" t="s">
        <v>25</v>
      </c>
      <c r="M64" s="17" t="s">
        <v>25</v>
      </c>
      <c r="N64" s="17" t="s">
        <v>25</v>
      </c>
      <c r="O64" s="17" t="s">
        <v>25</v>
      </c>
      <c r="P64" s="17" t="s">
        <v>25</v>
      </c>
      <c r="Q64" s="17" t="s">
        <v>26</v>
      </c>
    </row>
    <row r="65" spans="1:17" ht="30" customHeight="1" x14ac:dyDescent="0.3">
      <c r="A65" s="17" t="s">
        <v>267</v>
      </c>
      <c r="B65" s="17" t="s">
        <v>276</v>
      </c>
      <c r="C65" s="17" t="s">
        <v>21</v>
      </c>
      <c r="D65" s="17" t="s">
        <v>144</v>
      </c>
      <c r="E65" s="18" t="s">
        <v>23</v>
      </c>
      <c r="F65" s="17">
        <v>5</v>
      </c>
      <c r="G65" s="17" t="s">
        <v>24</v>
      </c>
      <c r="H65" s="17" t="s">
        <v>25</v>
      </c>
      <c r="I65" s="17" t="s">
        <v>25</v>
      </c>
      <c r="J65" s="17" t="s">
        <v>25</v>
      </c>
      <c r="K65" s="17" t="s">
        <v>25</v>
      </c>
      <c r="L65" s="17" t="s">
        <v>25</v>
      </c>
      <c r="M65" s="17" t="s">
        <v>25</v>
      </c>
      <c r="N65" s="17" t="s">
        <v>25</v>
      </c>
      <c r="O65" s="17" t="s">
        <v>25</v>
      </c>
      <c r="P65" s="17" t="s">
        <v>25</v>
      </c>
      <c r="Q65" s="17" t="s">
        <v>26</v>
      </c>
    </row>
  </sheetData>
  <mergeCells count="2">
    <mergeCell ref="A1:Q1"/>
    <mergeCell ref="A2:Q2"/>
  </mergeCells>
  <phoneticPr fontId="10" type="noConversion"/>
  <conditionalFormatting sqref="E4:E65">
    <cfRule type="cellIs" dxfId="7" priority="1" operator="equal">
      <formula>"Pronto"</formula>
    </cfRule>
    <cfRule type="cellIs" dxfId="6" priority="2" operator="equal">
      <formula>"Planejado"</formula>
    </cfRule>
    <cfRule type="cellIs" dxfId="5" priority="3" operator="equal">
      <formula>"Bloqueado"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1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A972-CE2B-4250-8291-0B69BE8708C0}">
  <sheetPr>
    <pageSetUpPr fitToPage="1"/>
  </sheetPr>
  <dimension ref="A1:Q52"/>
  <sheetViews>
    <sheetView topLeftCell="B35" zoomScale="70" zoomScaleNormal="70" workbookViewId="0">
      <selection activeCell="Q3" sqref="L3:Q51"/>
    </sheetView>
  </sheetViews>
  <sheetFormatPr defaultRowHeight="14.4" x14ac:dyDescent="0.3"/>
  <cols>
    <col min="1" max="1" width="17.109375" customWidth="1"/>
    <col min="2" max="2" width="107.109375" bestFit="1" customWidth="1"/>
    <col min="3" max="3" width="15" customWidth="1"/>
    <col min="4" max="4" width="21.33203125" customWidth="1"/>
    <col min="5" max="5" width="14.88671875" bestFit="1" customWidth="1"/>
    <col min="6" max="6" width="18" customWidth="1"/>
    <col min="7" max="16" width="17.33203125" customWidth="1"/>
    <col min="17" max="17" width="14.33203125" customWidth="1"/>
    <col min="20" max="20" width="22.6640625" bestFit="1" customWidth="1"/>
  </cols>
  <sheetData>
    <row r="1" spans="1:17" ht="4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5"/>
    </row>
    <row r="2" spans="1:17" ht="30" customHeight="1" x14ac:dyDescent="0.3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6"/>
    </row>
    <row r="3" spans="1:17" ht="30" customHeight="1" x14ac:dyDescent="0.3">
      <c r="A3" s="14" t="s">
        <v>2</v>
      </c>
      <c r="B3" s="15" t="s">
        <v>3</v>
      </c>
      <c r="C3" s="15" t="s">
        <v>4</v>
      </c>
      <c r="D3" s="15" t="s">
        <v>5</v>
      </c>
      <c r="E3" s="16" t="s">
        <v>6</v>
      </c>
      <c r="F3" s="15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20" t="s">
        <v>12</v>
      </c>
      <c r="L3" s="16" t="s">
        <v>13</v>
      </c>
      <c r="M3" s="20" t="s">
        <v>14</v>
      </c>
      <c r="N3" s="16" t="s">
        <v>15</v>
      </c>
      <c r="O3" s="16" t="s">
        <v>16</v>
      </c>
      <c r="P3" s="16" t="s">
        <v>17</v>
      </c>
      <c r="Q3" s="16" t="s">
        <v>18</v>
      </c>
    </row>
    <row r="4" spans="1:17" ht="30" customHeight="1" x14ac:dyDescent="0.3">
      <c r="A4" s="17" t="s">
        <v>19</v>
      </c>
      <c r="B4" s="17" t="s">
        <v>20</v>
      </c>
      <c r="C4" s="17" t="s">
        <v>21</v>
      </c>
      <c r="D4" s="17" t="s">
        <v>22</v>
      </c>
      <c r="E4" s="18" t="s">
        <v>23</v>
      </c>
      <c r="F4" s="17">
        <v>5</v>
      </c>
      <c r="G4" s="17" t="s">
        <v>24</v>
      </c>
      <c r="H4" s="17" t="s">
        <v>25</v>
      </c>
      <c r="I4" s="17" t="s">
        <v>25</v>
      </c>
      <c r="J4" s="17" t="s">
        <v>25</v>
      </c>
      <c r="K4" s="17" t="s">
        <v>25</v>
      </c>
      <c r="L4" s="17" t="s">
        <v>25</v>
      </c>
      <c r="M4" s="17" t="s">
        <v>19</v>
      </c>
      <c r="N4" s="17" t="s">
        <v>25</v>
      </c>
      <c r="O4" s="17" t="s">
        <v>25</v>
      </c>
      <c r="P4" s="17" t="s">
        <v>25</v>
      </c>
      <c r="Q4" s="17" t="s">
        <v>26</v>
      </c>
    </row>
    <row r="5" spans="1:17" ht="30" customHeight="1" x14ac:dyDescent="0.3">
      <c r="A5" s="17" t="s">
        <v>27</v>
      </c>
      <c r="B5" s="17" t="s">
        <v>28</v>
      </c>
      <c r="C5" s="17" t="s">
        <v>21</v>
      </c>
      <c r="D5" s="17" t="s">
        <v>22</v>
      </c>
      <c r="E5" s="18" t="s">
        <v>23</v>
      </c>
      <c r="F5" s="17">
        <v>5</v>
      </c>
      <c r="G5" s="17" t="s">
        <v>24</v>
      </c>
      <c r="H5" s="17" t="s">
        <v>25</v>
      </c>
      <c r="I5" s="17" t="s">
        <v>25</v>
      </c>
      <c r="J5" s="17" t="s">
        <v>25</v>
      </c>
      <c r="K5" s="17" t="s">
        <v>25</v>
      </c>
      <c r="L5" s="17" t="s">
        <v>25</v>
      </c>
      <c r="M5" s="17" t="s">
        <v>25</v>
      </c>
      <c r="N5" s="17" t="s">
        <v>27</v>
      </c>
      <c r="O5" s="17" t="s">
        <v>25</v>
      </c>
      <c r="P5" s="17" t="s">
        <v>25</v>
      </c>
      <c r="Q5" s="17" t="s">
        <v>26</v>
      </c>
    </row>
    <row r="6" spans="1:17" ht="30" customHeight="1" x14ac:dyDescent="0.3">
      <c r="A6" s="17" t="s">
        <v>29</v>
      </c>
      <c r="B6" s="17" t="s">
        <v>30</v>
      </c>
      <c r="C6" s="17" t="s">
        <v>21</v>
      </c>
      <c r="D6" s="17" t="s">
        <v>22</v>
      </c>
      <c r="E6" s="18" t="s">
        <v>23</v>
      </c>
      <c r="F6" s="17">
        <v>8</v>
      </c>
      <c r="G6" s="17" t="s">
        <v>31</v>
      </c>
      <c r="H6" s="17" t="s">
        <v>25</v>
      </c>
      <c r="I6" s="17" t="s">
        <v>25</v>
      </c>
      <c r="J6" s="17" t="s">
        <v>25</v>
      </c>
      <c r="K6" s="17" t="s">
        <v>25</v>
      </c>
      <c r="L6" s="17" t="s">
        <v>25</v>
      </c>
      <c r="M6" s="17" t="s">
        <v>29</v>
      </c>
      <c r="N6" s="17" t="s">
        <v>25</v>
      </c>
      <c r="O6" s="17" t="s">
        <v>25</v>
      </c>
      <c r="P6" s="17" t="s">
        <v>25</v>
      </c>
      <c r="Q6" s="17" t="s">
        <v>26</v>
      </c>
    </row>
    <row r="7" spans="1:17" ht="30" customHeight="1" x14ac:dyDescent="0.3">
      <c r="A7" s="17" t="s">
        <v>32</v>
      </c>
      <c r="B7" s="17" t="s">
        <v>33</v>
      </c>
      <c r="C7" s="17" t="s">
        <v>21</v>
      </c>
      <c r="D7" s="17" t="s">
        <v>22</v>
      </c>
      <c r="E7" s="18" t="s">
        <v>23</v>
      </c>
      <c r="F7" s="17">
        <v>8</v>
      </c>
      <c r="G7" s="17" t="s">
        <v>31</v>
      </c>
      <c r="H7" s="17" t="s">
        <v>25</v>
      </c>
      <c r="I7" s="17" t="s">
        <v>25</v>
      </c>
      <c r="J7" s="17" t="s">
        <v>25</v>
      </c>
      <c r="K7" s="17" t="s">
        <v>25</v>
      </c>
      <c r="L7" s="17" t="s">
        <v>25</v>
      </c>
      <c r="M7" s="17" t="s">
        <v>32</v>
      </c>
      <c r="N7" s="17" t="s">
        <v>25</v>
      </c>
      <c r="O7" s="17" t="s">
        <v>25</v>
      </c>
      <c r="P7" s="17" t="s">
        <v>25</v>
      </c>
      <c r="Q7" s="17" t="s">
        <v>26</v>
      </c>
    </row>
    <row r="8" spans="1:17" ht="30" customHeight="1" x14ac:dyDescent="0.3">
      <c r="A8" s="17" t="s">
        <v>34</v>
      </c>
      <c r="B8" s="17" t="s">
        <v>35</v>
      </c>
      <c r="C8" s="17" t="s">
        <v>36</v>
      </c>
      <c r="D8" s="17" t="s">
        <v>22</v>
      </c>
      <c r="E8" s="18" t="s">
        <v>23</v>
      </c>
      <c r="F8" s="17">
        <v>13</v>
      </c>
      <c r="G8" s="17" t="s">
        <v>31</v>
      </c>
      <c r="H8" s="17" t="s">
        <v>25</v>
      </c>
      <c r="I8" s="17" t="s">
        <v>25</v>
      </c>
      <c r="J8" s="17" t="s">
        <v>25</v>
      </c>
      <c r="K8" s="17" t="s">
        <v>37</v>
      </c>
      <c r="L8" s="17" t="s">
        <v>25</v>
      </c>
      <c r="M8" s="17" t="s">
        <v>25</v>
      </c>
      <c r="N8" s="17" t="s">
        <v>25</v>
      </c>
      <c r="O8" s="17" t="s">
        <v>25</v>
      </c>
      <c r="P8" s="17" t="s">
        <v>25</v>
      </c>
      <c r="Q8" s="17" t="s">
        <v>26</v>
      </c>
    </row>
    <row r="9" spans="1:17" ht="30" customHeight="1" x14ac:dyDescent="0.3">
      <c r="A9" s="17" t="s">
        <v>38</v>
      </c>
      <c r="B9" s="17" t="s">
        <v>39</v>
      </c>
      <c r="C9" s="17" t="s">
        <v>21</v>
      </c>
      <c r="D9" s="17" t="s">
        <v>22</v>
      </c>
      <c r="E9" s="18" t="s">
        <v>23</v>
      </c>
      <c r="F9" s="17">
        <v>8</v>
      </c>
      <c r="G9" s="17" t="s">
        <v>31</v>
      </c>
      <c r="H9" s="17" t="s">
        <v>25</v>
      </c>
      <c r="I9" s="17" t="s">
        <v>25</v>
      </c>
      <c r="J9" s="17" t="s">
        <v>25</v>
      </c>
      <c r="K9" s="17" t="s">
        <v>25</v>
      </c>
      <c r="L9" s="17" t="s">
        <v>25</v>
      </c>
      <c r="M9" s="17" t="s">
        <v>25</v>
      </c>
      <c r="N9" s="17" t="s">
        <v>38</v>
      </c>
      <c r="O9" s="17" t="s">
        <v>25</v>
      </c>
      <c r="P9" s="17" t="s">
        <v>25</v>
      </c>
      <c r="Q9" s="17" t="s">
        <v>26</v>
      </c>
    </row>
    <row r="10" spans="1:17" ht="30" customHeight="1" x14ac:dyDescent="0.3">
      <c r="A10" s="17" t="s">
        <v>40</v>
      </c>
      <c r="B10" s="17" t="s">
        <v>41</v>
      </c>
      <c r="C10" s="17" t="s">
        <v>21</v>
      </c>
      <c r="D10" s="17" t="s">
        <v>42</v>
      </c>
      <c r="E10" s="18" t="s">
        <v>23</v>
      </c>
      <c r="F10" s="17">
        <v>5</v>
      </c>
      <c r="G10" s="17" t="s">
        <v>43</v>
      </c>
      <c r="H10" s="17" t="s">
        <v>25</v>
      </c>
      <c r="I10" s="17" t="s">
        <v>25</v>
      </c>
      <c r="J10" s="17" t="s">
        <v>25</v>
      </c>
      <c r="K10" s="17" t="s">
        <v>25</v>
      </c>
      <c r="L10" s="17" t="s">
        <v>25</v>
      </c>
      <c r="M10" s="17" t="s">
        <v>25</v>
      </c>
      <c r="N10" s="17" t="s">
        <v>25</v>
      </c>
      <c r="O10" s="17" t="s">
        <v>25</v>
      </c>
      <c r="P10" s="17" t="s">
        <v>25</v>
      </c>
      <c r="Q10" s="17" t="s">
        <v>26</v>
      </c>
    </row>
    <row r="11" spans="1:17" ht="30" customHeight="1" x14ac:dyDescent="0.3">
      <c r="A11" s="17" t="s">
        <v>44</v>
      </c>
      <c r="B11" s="17" t="s">
        <v>45</v>
      </c>
      <c r="C11" s="17" t="s">
        <v>21</v>
      </c>
      <c r="D11" s="17" t="s">
        <v>22</v>
      </c>
      <c r="E11" s="18" t="s">
        <v>23</v>
      </c>
      <c r="F11" s="17">
        <v>8</v>
      </c>
      <c r="G11" s="17" t="s">
        <v>24</v>
      </c>
      <c r="H11" s="17" t="s">
        <v>25</v>
      </c>
      <c r="I11" s="17" t="s">
        <v>25</v>
      </c>
      <c r="J11" s="17" t="s">
        <v>25</v>
      </c>
      <c r="K11" s="17" t="s">
        <v>25</v>
      </c>
      <c r="L11" s="17" t="s">
        <v>25</v>
      </c>
      <c r="M11" s="17" t="s">
        <v>25</v>
      </c>
      <c r="N11" s="17" t="s">
        <v>44</v>
      </c>
      <c r="O11" s="17" t="s">
        <v>25</v>
      </c>
      <c r="P11" s="17" t="s">
        <v>25</v>
      </c>
      <c r="Q11" s="17" t="s">
        <v>26</v>
      </c>
    </row>
    <row r="12" spans="1:17" ht="30" customHeight="1" x14ac:dyDescent="0.3">
      <c r="A12" s="17" t="s">
        <v>46</v>
      </c>
      <c r="B12" s="17" t="s">
        <v>47</v>
      </c>
      <c r="C12" s="17" t="s">
        <v>36</v>
      </c>
      <c r="D12" s="17" t="s">
        <v>22</v>
      </c>
      <c r="E12" s="18" t="s">
        <v>23</v>
      </c>
      <c r="F12" s="17">
        <v>8</v>
      </c>
      <c r="G12" s="17" t="s">
        <v>31</v>
      </c>
      <c r="H12" s="17" t="s">
        <v>25</v>
      </c>
      <c r="I12" s="17" t="s">
        <v>25</v>
      </c>
      <c r="J12" s="17" t="s">
        <v>48</v>
      </c>
      <c r="K12" s="17" t="s">
        <v>37</v>
      </c>
      <c r="L12" s="17" t="s">
        <v>25</v>
      </c>
      <c r="M12" s="17" t="s">
        <v>25</v>
      </c>
      <c r="N12" s="17" t="s">
        <v>25</v>
      </c>
      <c r="O12" s="17" t="s">
        <v>49</v>
      </c>
      <c r="P12" s="17" t="s">
        <v>25</v>
      </c>
      <c r="Q12" s="17" t="s">
        <v>26</v>
      </c>
    </row>
    <row r="13" spans="1:17" ht="30" customHeight="1" x14ac:dyDescent="0.3">
      <c r="A13" s="17" t="s">
        <v>50</v>
      </c>
      <c r="B13" s="17" t="s">
        <v>51</v>
      </c>
      <c r="C13" s="17" t="s">
        <v>36</v>
      </c>
      <c r="D13" s="17" t="s">
        <v>22</v>
      </c>
      <c r="E13" s="18" t="s">
        <v>23</v>
      </c>
      <c r="F13" s="17">
        <v>8</v>
      </c>
      <c r="G13" s="17" t="s">
        <v>31</v>
      </c>
      <c r="H13" s="17" t="s">
        <v>25</v>
      </c>
      <c r="I13" s="17" t="s">
        <v>25</v>
      </c>
      <c r="J13" s="17" t="s">
        <v>52</v>
      </c>
      <c r="K13" s="17" t="s">
        <v>25</v>
      </c>
      <c r="L13" s="17" t="s">
        <v>25</v>
      </c>
      <c r="M13" s="17" t="s">
        <v>25</v>
      </c>
      <c r="N13" s="17" t="s">
        <v>25</v>
      </c>
      <c r="O13" s="17" t="s">
        <v>25</v>
      </c>
      <c r="P13" s="17" t="s">
        <v>25</v>
      </c>
      <c r="Q13" s="17" t="s">
        <v>26</v>
      </c>
    </row>
    <row r="14" spans="1:17" ht="30" customHeight="1" x14ac:dyDescent="0.3">
      <c r="A14" s="17" t="s">
        <v>53</v>
      </c>
      <c r="B14" s="17" t="s">
        <v>54</v>
      </c>
      <c r="C14" s="17" t="s">
        <v>36</v>
      </c>
      <c r="D14" s="17" t="s">
        <v>42</v>
      </c>
      <c r="E14" s="18" t="s">
        <v>23</v>
      </c>
      <c r="F14" s="17">
        <v>8</v>
      </c>
      <c r="G14" s="17" t="s">
        <v>43</v>
      </c>
      <c r="H14" s="17" t="s">
        <v>25</v>
      </c>
      <c r="I14" s="17" t="s">
        <v>25</v>
      </c>
      <c r="J14" s="17" t="s">
        <v>55</v>
      </c>
      <c r="K14" s="17" t="s">
        <v>25</v>
      </c>
      <c r="L14" s="17" t="s">
        <v>25</v>
      </c>
      <c r="M14" s="17" t="s">
        <v>25</v>
      </c>
      <c r="N14" s="17" t="s">
        <v>25</v>
      </c>
      <c r="O14" s="17" t="s">
        <v>49</v>
      </c>
      <c r="P14" s="17" t="s">
        <v>25</v>
      </c>
      <c r="Q14" s="17" t="s">
        <v>26</v>
      </c>
    </row>
    <row r="15" spans="1:17" ht="30" customHeight="1" x14ac:dyDescent="0.3">
      <c r="A15" s="17" t="s">
        <v>56</v>
      </c>
      <c r="B15" s="17" t="s">
        <v>57</v>
      </c>
      <c r="C15" s="17" t="s">
        <v>36</v>
      </c>
      <c r="D15" s="17" t="s">
        <v>22</v>
      </c>
      <c r="E15" s="18" t="s">
        <v>23</v>
      </c>
      <c r="F15" s="17">
        <v>8</v>
      </c>
      <c r="G15" s="17" t="s">
        <v>24</v>
      </c>
      <c r="H15" s="17" t="s">
        <v>25</v>
      </c>
      <c r="I15" s="17" t="s">
        <v>25</v>
      </c>
      <c r="J15" s="17" t="s">
        <v>25</v>
      </c>
      <c r="K15" s="17" t="s">
        <v>25</v>
      </c>
      <c r="L15" s="17" t="s">
        <v>25</v>
      </c>
      <c r="M15" s="17" t="s">
        <v>25</v>
      </c>
      <c r="N15" s="17" t="s">
        <v>25</v>
      </c>
      <c r="O15" s="17" t="s">
        <v>49</v>
      </c>
      <c r="P15" s="17" t="s">
        <v>25</v>
      </c>
      <c r="Q15" s="17" t="s">
        <v>26</v>
      </c>
    </row>
    <row r="16" spans="1:17" ht="30" customHeight="1" x14ac:dyDescent="0.3">
      <c r="A16" s="17" t="s">
        <v>58</v>
      </c>
      <c r="B16" s="17" t="s">
        <v>59</v>
      </c>
      <c r="C16" s="17" t="s">
        <v>21</v>
      </c>
      <c r="D16" s="17" t="s">
        <v>42</v>
      </c>
      <c r="E16" s="18" t="s">
        <v>23</v>
      </c>
      <c r="F16" s="17">
        <v>3</v>
      </c>
      <c r="G16" s="17" t="s">
        <v>43</v>
      </c>
      <c r="H16" s="17" t="s">
        <v>25</v>
      </c>
      <c r="I16" s="17" t="s">
        <v>25</v>
      </c>
      <c r="J16" s="17" t="s">
        <v>25</v>
      </c>
      <c r="K16" s="17" t="s">
        <v>25</v>
      </c>
      <c r="L16" s="17" t="s">
        <v>25</v>
      </c>
      <c r="M16" s="17" t="s">
        <v>25</v>
      </c>
      <c r="N16" s="17" t="s">
        <v>25</v>
      </c>
      <c r="O16" s="17" t="s">
        <v>25</v>
      </c>
      <c r="P16" s="17" t="s">
        <v>25</v>
      </c>
      <c r="Q16" s="17" t="s">
        <v>26</v>
      </c>
    </row>
    <row r="17" spans="1:17" ht="30" customHeight="1" x14ac:dyDescent="0.3">
      <c r="A17" s="17" t="s">
        <v>60</v>
      </c>
      <c r="B17" s="17" t="s">
        <v>61</v>
      </c>
      <c r="C17" s="17" t="s">
        <v>21</v>
      </c>
      <c r="D17" s="17" t="s">
        <v>22</v>
      </c>
      <c r="E17" s="18" t="s">
        <v>23</v>
      </c>
      <c r="F17" s="17">
        <v>5</v>
      </c>
      <c r="G17" s="17" t="s">
        <v>43</v>
      </c>
      <c r="H17" s="17" t="s">
        <v>25</v>
      </c>
      <c r="I17" s="17" t="s">
        <v>25</v>
      </c>
      <c r="J17" s="17" t="s">
        <v>25</v>
      </c>
      <c r="K17" s="17" t="s">
        <v>25</v>
      </c>
      <c r="L17" s="17" t="s">
        <v>25</v>
      </c>
      <c r="M17" s="17" t="s">
        <v>25</v>
      </c>
      <c r="N17" s="17" t="s">
        <v>25</v>
      </c>
      <c r="O17" s="17" t="s">
        <v>25</v>
      </c>
      <c r="P17" s="17" t="s">
        <v>25</v>
      </c>
      <c r="Q17" s="17" t="s">
        <v>26</v>
      </c>
    </row>
    <row r="18" spans="1:17" ht="30" customHeight="1" x14ac:dyDescent="0.3">
      <c r="A18" s="17" t="s">
        <v>62</v>
      </c>
      <c r="B18" s="17" t="s">
        <v>63</v>
      </c>
      <c r="C18" s="17" t="s">
        <v>21</v>
      </c>
      <c r="D18" s="17" t="s">
        <v>22</v>
      </c>
      <c r="E18" s="18" t="s">
        <v>23</v>
      </c>
      <c r="F18" s="17">
        <v>5</v>
      </c>
      <c r="G18" s="17" t="s">
        <v>24</v>
      </c>
      <c r="H18" s="17" t="s">
        <v>25</v>
      </c>
      <c r="I18" s="17" t="s">
        <v>25</v>
      </c>
      <c r="J18" s="17" t="s">
        <v>48</v>
      </c>
      <c r="K18" s="17" t="s">
        <v>25</v>
      </c>
      <c r="L18" s="17" t="s">
        <v>25</v>
      </c>
      <c r="M18" s="17" t="s">
        <v>25</v>
      </c>
      <c r="N18" s="17" t="s">
        <v>25</v>
      </c>
      <c r="O18" s="17" t="s">
        <v>25</v>
      </c>
      <c r="P18" s="17" t="s">
        <v>25</v>
      </c>
      <c r="Q18" s="17" t="s">
        <v>26</v>
      </c>
    </row>
    <row r="19" spans="1:17" ht="30" customHeight="1" x14ac:dyDescent="0.3">
      <c r="A19" s="17" t="s">
        <v>64</v>
      </c>
      <c r="B19" s="17" t="s">
        <v>65</v>
      </c>
      <c r="C19" s="17" t="s">
        <v>21</v>
      </c>
      <c r="D19" s="17" t="s">
        <v>22</v>
      </c>
      <c r="E19" s="18" t="s">
        <v>23</v>
      </c>
      <c r="F19" s="17">
        <v>8</v>
      </c>
      <c r="G19" s="17" t="s">
        <v>24</v>
      </c>
      <c r="H19" s="17" t="s">
        <v>25</v>
      </c>
      <c r="I19" s="17" t="s">
        <v>25</v>
      </c>
      <c r="J19" s="17" t="s">
        <v>25</v>
      </c>
      <c r="K19" s="17" t="s">
        <v>25</v>
      </c>
      <c r="L19" s="17" t="s">
        <v>25</v>
      </c>
      <c r="M19" s="17" t="s">
        <v>25</v>
      </c>
      <c r="N19" s="17" t="s">
        <v>25</v>
      </c>
      <c r="O19" s="17" t="s">
        <v>25</v>
      </c>
      <c r="P19" s="17" t="s">
        <v>25</v>
      </c>
      <c r="Q19" s="17" t="s">
        <v>26</v>
      </c>
    </row>
    <row r="20" spans="1:17" ht="30" customHeight="1" x14ac:dyDescent="0.3">
      <c r="A20" s="17" t="s">
        <v>66</v>
      </c>
      <c r="B20" s="17" t="s">
        <v>67</v>
      </c>
      <c r="C20" s="17" t="s">
        <v>21</v>
      </c>
      <c r="D20" s="17" t="s">
        <v>22</v>
      </c>
      <c r="E20" s="18" t="s">
        <v>23</v>
      </c>
      <c r="F20" s="17">
        <v>8</v>
      </c>
      <c r="G20" s="17" t="s">
        <v>24</v>
      </c>
      <c r="H20" s="17" t="s">
        <v>25</v>
      </c>
      <c r="I20" s="17" t="s">
        <v>25</v>
      </c>
      <c r="J20" s="17" t="s">
        <v>25</v>
      </c>
      <c r="K20" s="17" t="s">
        <v>25</v>
      </c>
      <c r="L20" s="17" t="s">
        <v>25</v>
      </c>
      <c r="M20" s="17" t="s">
        <v>25</v>
      </c>
      <c r="N20" s="17" t="s">
        <v>25</v>
      </c>
      <c r="O20" s="17" t="s">
        <v>25</v>
      </c>
      <c r="P20" s="17" t="s">
        <v>25</v>
      </c>
      <c r="Q20" s="17" t="s">
        <v>26</v>
      </c>
    </row>
    <row r="21" spans="1:17" ht="30" customHeight="1" x14ac:dyDescent="0.3">
      <c r="A21" s="17" t="s">
        <v>68</v>
      </c>
      <c r="B21" s="17" t="s">
        <v>69</v>
      </c>
      <c r="C21" s="17" t="s">
        <v>21</v>
      </c>
      <c r="D21" s="17" t="s">
        <v>22</v>
      </c>
      <c r="E21" s="18" t="s">
        <v>23</v>
      </c>
      <c r="F21" s="17">
        <v>8</v>
      </c>
      <c r="G21" s="17" t="s">
        <v>24</v>
      </c>
      <c r="H21" s="17" t="s">
        <v>25</v>
      </c>
      <c r="I21" s="17" t="s">
        <v>25</v>
      </c>
      <c r="J21" s="17" t="s">
        <v>25</v>
      </c>
      <c r="K21" s="17" t="s">
        <v>25</v>
      </c>
      <c r="L21" s="17" t="s">
        <v>25</v>
      </c>
      <c r="M21" s="17" t="s">
        <v>25</v>
      </c>
      <c r="N21" s="17" t="s">
        <v>68</v>
      </c>
      <c r="O21" s="17" t="s">
        <v>25</v>
      </c>
      <c r="P21" s="17" t="s">
        <v>25</v>
      </c>
      <c r="Q21" s="17" t="s">
        <v>26</v>
      </c>
    </row>
    <row r="22" spans="1:17" ht="30" customHeight="1" x14ac:dyDescent="0.3">
      <c r="A22" s="17" t="s">
        <v>70</v>
      </c>
      <c r="B22" s="17" t="s">
        <v>71</v>
      </c>
      <c r="C22" s="17" t="s">
        <v>36</v>
      </c>
      <c r="D22" s="17" t="s">
        <v>22</v>
      </c>
      <c r="E22" s="18" t="s">
        <v>23</v>
      </c>
      <c r="F22" s="17">
        <v>13</v>
      </c>
      <c r="G22" s="17" t="s">
        <v>24</v>
      </c>
      <c r="H22" s="17" t="s">
        <v>25</v>
      </c>
      <c r="I22" s="17" t="s">
        <v>25</v>
      </c>
      <c r="J22" s="17" t="s">
        <v>25</v>
      </c>
      <c r="K22" s="17" t="s">
        <v>37</v>
      </c>
      <c r="L22" s="17" t="s">
        <v>25</v>
      </c>
      <c r="M22" s="17" t="s">
        <v>25</v>
      </c>
      <c r="N22" s="17" t="s">
        <v>25</v>
      </c>
      <c r="O22" s="17" t="s">
        <v>25</v>
      </c>
      <c r="P22" s="17" t="s">
        <v>25</v>
      </c>
      <c r="Q22" s="17" t="s">
        <v>26</v>
      </c>
    </row>
    <row r="23" spans="1:17" ht="30" customHeight="1" x14ac:dyDescent="0.3">
      <c r="A23" s="17" t="s">
        <v>72</v>
      </c>
      <c r="B23" s="17" t="s">
        <v>73</v>
      </c>
      <c r="C23" s="17" t="s">
        <v>36</v>
      </c>
      <c r="D23" s="17" t="s">
        <v>22</v>
      </c>
      <c r="E23" s="18" t="s">
        <v>23</v>
      </c>
      <c r="F23" s="17">
        <v>13</v>
      </c>
      <c r="G23" s="17" t="s">
        <v>24</v>
      </c>
      <c r="H23" s="17" t="s">
        <v>25</v>
      </c>
      <c r="I23" s="17" t="s">
        <v>25</v>
      </c>
      <c r="J23" s="17" t="s">
        <v>25</v>
      </c>
      <c r="K23" s="17" t="s">
        <v>25</v>
      </c>
      <c r="L23" s="17" t="s">
        <v>25</v>
      </c>
      <c r="M23" s="17" t="s">
        <v>25</v>
      </c>
      <c r="N23" s="17" t="s">
        <v>25</v>
      </c>
      <c r="O23" s="17" t="s">
        <v>25</v>
      </c>
      <c r="P23" s="17" t="s">
        <v>25</v>
      </c>
      <c r="Q23" s="17" t="s">
        <v>26</v>
      </c>
    </row>
    <row r="24" spans="1:17" ht="30" customHeight="1" x14ac:dyDescent="0.3">
      <c r="A24" s="17" t="s">
        <v>74</v>
      </c>
      <c r="B24" s="17" t="s">
        <v>75</v>
      </c>
      <c r="C24" s="17" t="s">
        <v>21</v>
      </c>
      <c r="D24" s="17" t="s">
        <v>22</v>
      </c>
      <c r="E24" s="18" t="s">
        <v>23</v>
      </c>
      <c r="F24" s="17">
        <v>8</v>
      </c>
      <c r="G24" s="17" t="s">
        <v>24</v>
      </c>
      <c r="H24" s="17" t="s">
        <v>25</v>
      </c>
      <c r="I24" s="17" t="s">
        <v>25</v>
      </c>
      <c r="J24" s="17" t="s">
        <v>25</v>
      </c>
      <c r="K24" s="17" t="s">
        <v>25</v>
      </c>
      <c r="L24" s="17" t="s">
        <v>76</v>
      </c>
      <c r="M24" s="17" t="s">
        <v>25</v>
      </c>
      <c r="N24" s="17" t="s">
        <v>25</v>
      </c>
      <c r="O24" s="17" t="s">
        <v>25</v>
      </c>
      <c r="P24" s="17" t="s">
        <v>25</v>
      </c>
      <c r="Q24" s="17" t="s">
        <v>26</v>
      </c>
    </row>
    <row r="25" spans="1:17" ht="30" customHeight="1" x14ac:dyDescent="0.3">
      <c r="A25" s="17" t="s">
        <v>77</v>
      </c>
      <c r="B25" s="17" t="s">
        <v>78</v>
      </c>
      <c r="C25" s="17" t="s">
        <v>21</v>
      </c>
      <c r="D25" s="17" t="s">
        <v>22</v>
      </c>
      <c r="E25" s="18" t="s">
        <v>23</v>
      </c>
      <c r="F25" s="17">
        <v>8</v>
      </c>
      <c r="G25" s="17" t="s">
        <v>24</v>
      </c>
      <c r="H25" s="17" t="s">
        <v>25</v>
      </c>
      <c r="I25" s="17" t="s">
        <v>25</v>
      </c>
      <c r="J25" s="17" t="s">
        <v>25</v>
      </c>
      <c r="K25" s="17" t="s">
        <v>25</v>
      </c>
      <c r="L25" s="19" t="s">
        <v>79</v>
      </c>
      <c r="M25" s="17" t="s">
        <v>25</v>
      </c>
      <c r="N25" s="17" t="s">
        <v>25</v>
      </c>
      <c r="O25" s="17" t="s">
        <v>25</v>
      </c>
      <c r="P25" s="17" t="s">
        <v>25</v>
      </c>
      <c r="Q25" s="17" t="s">
        <v>26</v>
      </c>
    </row>
    <row r="26" spans="1:17" ht="30" customHeight="1" x14ac:dyDescent="0.3">
      <c r="A26" s="17" t="s">
        <v>80</v>
      </c>
      <c r="B26" s="17" t="s">
        <v>81</v>
      </c>
      <c r="C26" s="17" t="s">
        <v>21</v>
      </c>
      <c r="D26" s="17" t="s">
        <v>22</v>
      </c>
      <c r="E26" s="18" t="s">
        <v>23</v>
      </c>
      <c r="F26" s="17">
        <v>8</v>
      </c>
      <c r="G26" s="17" t="s">
        <v>43</v>
      </c>
      <c r="H26" s="19" t="s">
        <v>82</v>
      </c>
      <c r="I26" s="17" t="s">
        <v>25</v>
      </c>
      <c r="J26" s="17" t="s">
        <v>25</v>
      </c>
      <c r="K26" s="17" t="s">
        <v>25</v>
      </c>
      <c r="L26" s="17" t="s">
        <v>25</v>
      </c>
      <c r="M26" s="17" t="s">
        <v>25</v>
      </c>
      <c r="N26" s="17" t="s">
        <v>25</v>
      </c>
      <c r="O26" s="17" t="s">
        <v>25</v>
      </c>
      <c r="P26" s="17" t="s">
        <v>25</v>
      </c>
      <c r="Q26" s="17" t="s">
        <v>26</v>
      </c>
    </row>
    <row r="27" spans="1:17" ht="30" customHeight="1" x14ac:dyDescent="0.3">
      <c r="A27" s="17" t="s">
        <v>83</v>
      </c>
      <c r="B27" s="17" t="s">
        <v>84</v>
      </c>
      <c r="C27" s="17" t="s">
        <v>21</v>
      </c>
      <c r="D27" s="17" t="s">
        <v>22</v>
      </c>
      <c r="E27" s="18" t="s">
        <v>23</v>
      </c>
      <c r="F27" s="17">
        <v>8</v>
      </c>
      <c r="G27" s="17" t="s">
        <v>43</v>
      </c>
      <c r="H27" s="19" t="s">
        <v>85</v>
      </c>
      <c r="I27" s="17" t="s">
        <v>25</v>
      </c>
      <c r="J27" s="17" t="s">
        <v>25</v>
      </c>
      <c r="K27" s="17" t="s">
        <v>25</v>
      </c>
      <c r="L27" s="17" t="s">
        <v>25</v>
      </c>
      <c r="M27" s="17" t="s">
        <v>25</v>
      </c>
      <c r="N27" s="17" t="s">
        <v>25</v>
      </c>
      <c r="O27" s="17" t="s">
        <v>25</v>
      </c>
      <c r="P27" s="17" t="s">
        <v>25</v>
      </c>
      <c r="Q27" s="17" t="s">
        <v>26</v>
      </c>
    </row>
    <row r="28" spans="1:17" ht="30" customHeight="1" x14ac:dyDescent="0.3">
      <c r="A28" s="17" t="s">
        <v>86</v>
      </c>
      <c r="B28" s="17" t="s">
        <v>87</v>
      </c>
      <c r="C28" s="17" t="s">
        <v>21</v>
      </c>
      <c r="D28" s="17" t="s">
        <v>22</v>
      </c>
      <c r="E28" s="18" t="s">
        <v>23</v>
      </c>
      <c r="F28" s="17">
        <v>8</v>
      </c>
      <c r="G28" s="17" t="s">
        <v>31</v>
      </c>
      <c r="H28" s="17" t="s">
        <v>25</v>
      </c>
      <c r="I28" s="17" t="s">
        <v>88</v>
      </c>
      <c r="J28" s="17" t="s">
        <v>25</v>
      </c>
      <c r="K28" s="17" t="s">
        <v>25</v>
      </c>
      <c r="L28" s="17" t="s">
        <v>25</v>
      </c>
      <c r="M28" s="17" t="s">
        <v>25</v>
      </c>
      <c r="N28" s="17" t="s">
        <v>25</v>
      </c>
      <c r="O28" s="17" t="s">
        <v>25</v>
      </c>
      <c r="P28" s="17" t="s">
        <v>25</v>
      </c>
      <c r="Q28" s="17" t="s">
        <v>26</v>
      </c>
    </row>
    <row r="29" spans="1:17" ht="30" customHeight="1" x14ac:dyDescent="0.3">
      <c r="A29" s="17" t="s">
        <v>89</v>
      </c>
      <c r="B29" s="17" t="s">
        <v>90</v>
      </c>
      <c r="C29" s="17" t="s">
        <v>21</v>
      </c>
      <c r="D29" s="17" t="s">
        <v>42</v>
      </c>
      <c r="E29" s="18" t="s">
        <v>23</v>
      </c>
      <c r="F29" s="17">
        <v>3</v>
      </c>
      <c r="G29" s="17" t="s">
        <v>43</v>
      </c>
      <c r="H29" s="17" t="s">
        <v>25</v>
      </c>
      <c r="I29" s="17" t="s">
        <v>25</v>
      </c>
      <c r="J29" s="17" t="s">
        <v>25</v>
      </c>
      <c r="K29" s="17" t="s">
        <v>25</v>
      </c>
      <c r="L29" s="17" t="s">
        <v>25</v>
      </c>
      <c r="M29" s="17" t="s">
        <v>34</v>
      </c>
      <c r="N29" s="17" t="s">
        <v>25</v>
      </c>
      <c r="O29" s="17" t="s">
        <v>25</v>
      </c>
      <c r="P29" s="17" t="s">
        <v>25</v>
      </c>
      <c r="Q29" s="17" t="s">
        <v>26</v>
      </c>
    </row>
    <row r="30" spans="1:17" ht="30" customHeight="1" x14ac:dyDescent="0.3">
      <c r="A30" s="17" t="s">
        <v>91</v>
      </c>
      <c r="B30" s="17" t="s">
        <v>92</v>
      </c>
      <c r="C30" s="17" t="s">
        <v>36</v>
      </c>
      <c r="D30" s="17" t="s">
        <v>22</v>
      </c>
      <c r="E30" s="18" t="s">
        <v>23</v>
      </c>
      <c r="F30" s="17">
        <v>13</v>
      </c>
      <c r="G30" s="17" t="s">
        <v>24</v>
      </c>
      <c r="H30" s="17" t="s">
        <v>25</v>
      </c>
      <c r="I30" s="17" t="s">
        <v>25</v>
      </c>
      <c r="J30" s="17" t="s">
        <v>25</v>
      </c>
      <c r="K30" s="17" t="s">
        <v>25</v>
      </c>
      <c r="L30" s="17" t="s">
        <v>25</v>
      </c>
      <c r="M30" s="17" t="s">
        <v>25</v>
      </c>
      <c r="N30" s="17" t="s">
        <v>25</v>
      </c>
      <c r="O30" s="17" t="s">
        <v>25</v>
      </c>
      <c r="P30" s="17" t="s">
        <v>25</v>
      </c>
      <c r="Q30" s="17" t="s">
        <v>26</v>
      </c>
    </row>
    <row r="31" spans="1:17" ht="30" customHeight="1" x14ac:dyDescent="0.3">
      <c r="A31" s="17" t="s">
        <v>93</v>
      </c>
      <c r="B31" s="17" t="s">
        <v>94</v>
      </c>
      <c r="C31" s="17" t="s">
        <v>36</v>
      </c>
      <c r="D31" s="17" t="s">
        <v>22</v>
      </c>
      <c r="E31" s="18" t="s">
        <v>23</v>
      </c>
      <c r="F31" s="17">
        <v>13</v>
      </c>
      <c r="G31" s="17" t="s">
        <v>24</v>
      </c>
      <c r="H31" s="17" t="s">
        <v>25</v>
      </c>
      <c r="I31" s="17" t="s">
        <v>25</v>
      </c>
      <c r="J31" s="17" t="s">
        <v>25</v>
      </c>
      <c r="K31" s="17" t="s">
        <v>25</v>
      </c>
      <c r="L31" s="17" t="s">
        <v>25</v>
      </c>
      <c r="M31" s="17" t="s">
        <v>25</v>
      </c>
      <c r="N31" s="17" t="s">
        <v>25</v>
      </c>
      <c r="O31" s="17" t="s">
        <v>25</v>
      </c>
      <c r="P31" s="17" t="s">
        <v>25</v>
      </c>
      <c r="Q31" s="17" t="s">
        <v>26</v>
      </c>
    </row>
    <row r="32" spans="1:17" ht="30" customHeight="1" x14ac:dyDescent="0.3">
      <c r="A32" s="17" t="s">
        <v>95</v>
      </c>
      <c r="B32" s="17" t="s">
        <v>96</v>
      </c>
      <c r="C32" s="17" t="s">
        <v>36</v>
      </c>
      <c r="D32" s="17" t="s">
        <v>22</v>
      </c>
      <c r="E32" s="18" t="s">
        <v>23</v>
      </c>
      <c r="F32" s="17">
        <v>13</v>
      </c>
      <c r="G32" s="17" t="s">
        <v>24</v>
      </c>
      <c r="H32" s="17" t="s">
        <v>25</v>
      </c>
      <c r="I32" s="17" t="s">
        <v>25</v>
      </c>
      <c r="J32" s="17" t="s">
        <v>25</v>
      </c>
      <c r="K32" s="17" t="s">
        <v>25</v>
      </c>
      <c r="L32" s="17" t="s">
        <v>25</v>
      </c>
      <c r="M32" s="17" t="s">
        <v>25</v>
      </c>
      <c r="N32" s="17" t="s">
        <v>25</v>
      </c>
      <c r="O32" s="17" t="s">
        <v>25</v>
      </c>
      <c r="P32" s="17" t="s">
        <v>25</v>
      </c>
      <c r="Q32" s="17" t="s">
        <v>26</v>
      </c>
    </row>
    <row r="33" spans="1:17" ht="30" customHeight="1" x14ac:dyDescent="0.3">
      <c r="A33" s="17" t="s">
        <v>97</v>
      </c>
      <c r="B33" s="17" t="s">
        <v>98</v>
      </c>
      <c r="C33" s="17" t="s">
        <v>36</v>
      </c>
      <c r="D33" s="17" t="s">
        <v>22</v>
      </c>
      <c r="E33" s="18" t="s">
        <v>23</v>
      </c>
      <c r="F33" s="17">
        <v>13</v>
      </c>
      <c r="G33" s="17" t="s">
        <v>24</v>
      </c>
      <c r="H33" s="17" t="s">
        <v>25</v>
      </c>
      <c r="I33" s="17" t="s">
        <v>25</v>
      </c>
      <c r="J33" s="17" t="s">
        <v>25</v>
      </c>
      <c r="K33" s="17" t="s">
        <v>37</v>
      </c>
      <c r="L33" s="17" t="s">
        <v>25</v>
      </c>
      <c r="M33" s="17" t="s">
        <v>25</v>
      </c>
      <c r="N33" s="17" t="s">
        <v>25</v>
      </c>
      <c r="O33" s="17" t="s">
        <v>25</v>
      </c>
      <c r="P33" s="17" t="s">
        <v>25</v>
      </c>
      <c r="Q33" s="17" t="s">
        <v>26</v>
      </c>
    </row>
    <row r="34" spans="1:17" ht="30" customHeight="1" x14ac:dyDescent="0.3">
      <c r="A34" s="17" t="s">
        <v>99</v>
      </c>
      <c r="B34" s="17" t="s">
        <v>100</v>
      </c>
      <c r="C34" s="17" t="s">
        <v>36</v>
      </c>
      <c r="D34" s="17" t="s">
        <v>22</v>
      </c>
      <c r="E34" s="18" t="s">
        <v>23</v>
      </c>
      <c r="F34" s="17">
        <v>13</v>
      </c>
      <c r="G34" s="17" t="s">
        <v>31</v>
      </c>
      <c r="H34" s="17" t="s">
        <v>25</v>
      </c>
      <c r="I34" s="17" t="s">
        <v>25</v>
      </c>
      <c r="J34" s="17" t="s">
        <v>101</v>
      </c>
      <c r="K34" s="17" t="s">
        <v>25</v>
      </c>
      <c r="L34" s="17" t="s">
        <v>25</v>
      </c>
      <c r="M34" s="17" t="s">
        <v>25</v>
      </c>
      <c r="N34" s="17" t="s">
        <v>25</v>
      </c>
      <c r="O34" s="17" t="s">
        <v>49</v>
      </c>
      <c r="P34" s="17" t="s">
        <v>25</v>
      </c>
      <c r="Q34" s="17" t="s">
        <v>26</v>
      </c>
    </row>
    <row r="35" spans="1:17" ht="30" customHeight="1" x14ac:dyDescent="0.3">
      <c r="A35" s="17" t="s">
        <v>102</v>
      </c>
      <c r="B35" s="19" t="s">
        <v>103</v>
      </c>
      <c r="C35" s="17" t="s">
        <v>36</v>
      </c>
      <c r="D35" s="17" t="s">
        <v>22</v>
      </c>
      <c r="E35" s="18" t="s">
        <v>23</v>
      </c>
      <c r="F35" s="17">
        <v>13</v>
      </c>
      <c r="G35" s="17" t="s">
        <v>31</v>
      </c>
      <c r="H35" s="17" t="s">
        <v>25</v>
      </c>
      <c r="I35" s="17" t="s">
        <v>25</v>
      </c>
      <c r="J35" s="17" t="s">
        <v>104</v>
      </c>
      <c r="K35" s="17" t="s">
        <v>25</v>
      </c>
      <c r="L35" s="17" t="s">
        <v>25</v>
      </c>
      <c r="M35" s="17" t="s">
        <v>25</v>
      </c>
      <c r="N35" s="17" t="s">
        <v>25</v>
      </c>
      <c r="O35" s="17" t="s">
        <v>49</v>
      </c>
      <c r="P35" s="17" t="s">
        <v>25</v>
      </c>
      <c r="Q35" s="17" t="s">
        <v>26</v>
      </c>
    </row>
    <row r="36" spans="1:17" ht="30" customHeight="1" x14ac:dyDescent="0.3">
      <c r="A36" s="17" t="s">
        <v>105</v>
      </c>
      <c r="B36" s="19" t="s">
        <v>106</v>
      </c>
      <c r="C36" s="17" t="s">
        <v>36</v>
      </c>
      <c r="D36" s="17" t="s">
        <v>22</v>
      </c>
      <c r="E36" s="18" t="s">
        <v>23</v>
      </c>
      <c r="F36" s="17">
        <v>13</v>
      </c>
      <c r="G36" s="17" t="s">
        <v>31</v>
      </c>
      <c r="H36" s="17" t="s">
        <v>25</v>
      </c>
      <c r="I36" s="17" t="s">
        <v>25</v>
      </c>
      <c r="J36" s="17" t="s">
        <v>107</v>
      </c>
      <c r="K36" s="17" t="s">
        <v>25</v>
      </c>
      <c r="L36" s="17" t="s">
        <v>25</v>
      </c>
      <c r="M36" s="17" t="s">
        <v>25</v>
      </c>
      <c r="N36" s="17" t="s">
        <v>25</v>
      </c>
      <c r="O36" s="17" t="s">
        <v>49</v>
      </c>
      <c r="P36" s="17" t="s">
        <v>25</v>
      </c>
      <c r="Q36" s="17" t="s">
        <v>26</v>
      </c>
    </row>
    <row r="37" spans="1:17" ht="30" customHeight="1" x14ac:dyDescent="0.3">
      <c r="A37" s="17" t="s">
        <v>108</v>
      </c>
      <c r="B37" s="19" t="s">
        <v>109</v>
      </c>
      <c r="C37" s="17" t="s">
        <v>36</v>
      </c>
      <c r="D37" s="17" t="s">
        <v>22</v>
      </c>
      <c r="E37" s="18" t="s">
        <v>23</v>
      </c>
      <c r="F37" s="17">
        <v>13</v>
      </c>
      <c r="G37" s="17" t="s">
        <v>31</v>
      </c>
      <c r="H37" s="17" t="s">
        <v>25</v>
      </c>
      <c r="I37" s="17" t="s">
        <v>25</v>
      </c>
      <c r="J37" s="17" t="s">
        <v>110</v>
      </c>
      <c r="K37" s="17" t="s">
        <v>25</v>
      </c>
      <c r="L37" s="17" t="s">
        <v>25</v>
      </c>
      <c r="M37" s="17" t="s">
        <v>25</v>
      </c>
      <c r="N37" s="17" t="s">
        <v>25</v>
      </c>
      <c r="O37" s="17" t="s">
        <v>49</v>
      </c>
      <c r="P37" s="17" t="s">
        <v>25</v>
      </c>
      <c r="Q37" s="17" t="s">
        <v>26</v>
      </c>
    </row>
    <row r="38" spans="1:17" ht="30" customHeight="1" x14ac:dyDescent="0.3">
      <c r="A38" s="17" t="s">
        <v>111</v>
      </c>
      <c r="B38" s="17" t="s">
        <v>112</v>
      </c>
      <c r="C38" s="17" t="s">
        <v>36</v>
      </c>
      <c r="D38" s="17" t="s">
        <v>22</v>
      </c>
      <c r="E38" s="18" t="s">
        <v>23</v>
      </c>
      <c r="F38" s="17">
        <v>21</v>
      </c>
      <c r="G38" s="17" t="s">
        <v>31</v>
      </c>
      <c r="H38" s="17" t="s">
        <v>25</v>
      </c>
      <c r="I38" s="17" t="s">
        <v>25</v>
      </c>
      <c r="J38" s="17" t="s">
        <v>25</v>
      </c>
      <c r="K38" s="17" t="s">
        <v>25</v>
      </c>
      <c r="L38" s="17" t="s">
        <v>25</v>
      </c>
      <c r="M38" s="17" t="s">
        <v>25</v>
      </c>
      <c r="N38" s="17" t="s">
        <v>25</v>
      </c>
      <c r="O38" s="17" t="s">
        <v>25</v>
      </c>
      <c r="P38" s="17" t="s">
        <v>25</v>
      </c>
      <c r="Q38" s="17" t="s">
        <v>26</v>
      </c>
    </row>
    <row r="39" spans="1:17" ht="30" customHeight="1" x14ac:dyDescent="0.3">
      <c r="A39" s="17" t="s">
        <v>113</v>
      </c>
      <c r="B39" s="17" t="s">
        <v>114</v>
      </c>
      <c r="C39" s="17" t="s">
        <v>36</v>
      </c>
      <c r="D39" s="17" t="s">
        <v>22</v>
      </c>
      <c r="E39" s="18" t="s">
        <v>23</v>
      </c>
      <c r="F39" s="17">
        <v>21</v>
      </c>
      <c r="G39" s="17" t="s">
        <v>31</v>
      </c>
      <c r="H39" s="17" t="s">
        <v>25</v>
      </c>
      <c r="I39" s="17" t="s">
        <v>25</v>
      </c>
      <c r="J39" s="17" t="s">
        <v>25</v>
      </c>
      <c r="K39" s="17" t="s">
        <v>25</v>
      </c>
      <c r="L39" s="17" t="s">
        <v>25</v>
      </c>
      <c r="M39" s="17" t="s">
        <v>25</v>
      </c>
      <c r="N39" s="17" t="s">
        <v>25</v>
      </c>
      <c r="O39" s="17" t="s">
        <v>25</v>
      </c>
      <c r="P39" s="17" t="s">
        <v>25</v>
      </c>
      <c r="Q39" s="17" t="s">
        <v>26</v>
      </c>
    </row>
    <row r="40" spans="1:17" ht="30" customHeight="1" x14ac:dyDescent="0.3">
      <c r="A40" s="17" t="s">
        <v>115</v>
      </c>
      <c r="B40" s="17" t="s">
        <v>116</v>
      </c>
      <c r="C40" s="17" t="s">
        <v>36</v>
      </c>
      <c r="D40" s="17" t="s">
        <v>22</v>
      </c>
      <c r="E40" s="18" t="s">
        <v>23</v>
      </c>
      <c r="F40" s="17">
        <v>21</v>
      </c>
      <c r="G40" s="17" t="s">
        <v>31</v>
      </c>
      <c r="H40" s="17" t="s">
        <v>25</v>
      </c>
      <c r="I40" s="17" t="s">
        <v>25</v>
      </c>
      <c r="J40" s="17" t="s">
        <v>25</v>
      </c>
      <c r="K40" s="17" t="s">
        <v>25</v>
      </c>
      <c r="L40" s="17" t="s">
        <v>25</v>
      </c>
      <c r="M40" s="17" t="s">
        <v>25</v>
      </c>
      <c r="N40" s="17" t="s">
        <v>25</v>
      </c>
      <c r="O40" s="17" t="s">
        <v>25</v>
      </c>
      <c r="P40" s="17" t="s">
        <v>117</v>
      </c>
      <c r="Q40" s="17" t="s">
        <v>26</v>
      </c>
    </row>
    <row r="41" spans="1:17" ht="30" customHeight="1" x14ac:dyDescent="0.3">
      <c r="A41" s="17" t="s">
        <v>118</v>
      </c>
      <c r="B41" s="17" t="s">
        <v>119</v>
      </c>
      <c r="C41" s="17" t="s">
        <v>36</v>
      </c>
      <c r="D41" s="17" t="s">
        <v>22</v>
      </c>
      <c r="E41" s="18" t="s">
        <v>23</v>
      </c>
      <c r="F41" s="17">
        <v>21</v>
      </c>
      <c r="G41" s="17" t="s">
        <v>31</v>
      </c>
      <c r="H41" s="17" t="s">
        <v>25</v>
      </c>
      <c r="I41" s="17" t="s">
        <v>25</v>
      </c>
      <c r="J41" s="17" t="s">
        <v>25</v>
      </c>
      <c r="K41" s="17" t="s">
        <v>25</v>
      </c>
      <c r="L41" s="17" t="s">
        <v>25</v>
      </c>
      <c r="M41" s="17" t="s">
        <v>25</v>
      </c>
      <c r="N41" s="17" t="s">
        <v>25</v>
      </c>
      <c r="O41" s="17" t="s">
        <v>25</v>
      </c>
      <c r="P41" s="17" t="s">
        <v>25</v>
      </c>
      <c r="Q41" s="17" t="s">
        <v>26</v>
      </c>
    </row>
    <row r="42" spans="1:17" ht="30" customHeight="1" x14ac:dyDescent="0.3">
      <c r="A42" s="17" t="s">
        <v>120</v>
      </c>
      <c r="B42" s="17" t="s">
        <v>121</v>
      </c>
      <c r="C42" s="17" t="s">
        <v>36</v>
      </c>
      <c r="D42" s="17" t="s">
        <v>22</v>
      </c>
      <c r="E42" s="18" t="s">
        <v>23</v>
      </c>
      <c r="F42" s="17">
        <v>21</v>
      </c>
      <c r="G42" s="17" t="s">
        <v>31</v>
      </c>
      <c r="H42" s="17" t="s">
        <v>25</v>
      </c>
      <c r="I42" s="17" t="s">
        <v>25</v>
      </c>
      <c r="J42" s="17" t="s">
        <v>25</v>
      </c>
      <c r="K42" s="17" t="s">
        <v>25</v>
      </c>
      <c r="L42" s="17" t="s">
        <v>25</v>
      </c>
      <c r="M42" s="17" t="s">
        <v>25</v>
      </c>
      <c r="N42" s="17" t="s">
        <v>25</v>
      </c>
      <c r="O42" s="17" t="s">
        <v>25</v>
      </c>
      <c r="P42" s="17" t="s">
        <v>122</v>
      </c>
      <c r="Q42" s="17" t="s">
        <v>26</v>
      </c>
    </row>
    <row r="43" spans="1:17" ht="30" customHeight="1" x14ac:dyDescent="0.3">
      <c r="A43" s="17" t="s">
        <v>123</v>
      </c>
      <c r="B43" s="17" t="s">
        <v>124</v>
      </c>
      <c r="C43" s="17" t="s">
        <v>36</v>
      </c>
      <c r="D43" s="17" t="s">
        <v>22</v>
      </c>
      <c r="E43" s="18" t="s">
        <v>125</v>
      </c>
      <c r="F43" s="17">
        <v>21</v>
      </c>
      <c r="G43" s="17" t="s">
        <v>31</v>
      </c>
      <c r="H43" s="17" t="s">
        <v>25</v>
      </c>
      <c r="I43" s="17" t="s">
        <v>25</v>
      </c>
      <c r="J43" s="17" t="s">
        <v>25</v>
      </c>
      <c r="K43" s="17" t="s">
        <v>25</v>
      </c>
      <c r="L43" s="17" t="s">
        <v>25</v>
      </c>
      <c r="M43" s="17" t="s">
        <v>25</v>
      </c>
      <c r="N43" s="17" t="s">
        <v>25</v>
      </c>
      <c r="O43" s="17" t="s">
        <v>25</v>
      </c>
      <c r="P43" s="17" t="s">
        <v>25</v>
      </c>
      <c r="Q43" s="17" t="s">
        <v>26</v>
      </c>
    </row>
    <row r="44" spans="1:17" ht="30" customHeight="1" x14ac:dyDescent="0.3">
      <c r="A44" s="17" t="s">
        <v>126</v>
      </c>
      <c r="B44" s="17" t="s">
        <v>127</v>
      </c>
      <c r="C44" s="17" t="s">
        <v>36</v>
      </c>
      <c r="D44" s="17" t="s">
        <v>22</v>
      </c>
      <c r="E44" s="18" t="s">
        <v>23</v>
      </c>
      <c r="F44" s="17">
        <v>21</v>
      </c>
      <c r="G44" s="17" t="s">
        <v>31</v>
      </c>
      <c r="H44" s="17" t="s">
        <v>25</v>
      </c>
      <c r="I44" s="17" t="s">
        <v>25</v>
      </c>
      <c r="J44" s="17" t="s">
        <v>25</v>
      </c>
      <c r="K44" s="17" t="s">
        <v>25</v>
      </c>
      <c r="L44" s="17" t="s">
        <v>25</v>
      </c>
      <c r="M44" s="17" t="s">
        <v>25</v>
      </c>
      <c r="N44" s="17" t="s">
        <v>25</v>
      </c>
      <c r="O44" s="17" t="s">
        <v>25</v>
      </c>
      <c r="P44" s="17" t="s">
        <v>25</v>
      </c>
      <c r="Q44" s="17" t="s">
        <v>26</v>
      </c>
    </row>
    <row r="45" spans="1:17" ht="30" customHeight="1" x14ac:dyDescent="0.3">
      <c r="A45" s="17" t="s">
        <v>128</v>
      </c>
      <c r="B45" s="17" t="s">
        <v>129</v>
      </c>
      <c r="C45" s="17" t="s">
        <v>21</v>
      </c>
      <c r="D45" s="17" t="s">
        <v>22</v>
      </c>
      <c r="E45" s="18" t="s">
        <v>23</v>
      </c>
      <c r="F45" s="17">
        <v>8</v>
      </c>
      <c r="G45" s="17" t="s">
        <v>24</v>
      </c>
      <c r="H45" s="17" t="s">
        <v>25</v>
      </c>
      <c r="I45" s="17" t="s">
        <v>25</v>
      </c>
      <c r="J45" s="17" t="s">
        <v>25</v>
      </c>
      <c r="K45" s="17" t="s">
        <v>25</v>
      </c>
      <c r="L45" s="17" t="s">
        <v>25</v>
      </c>
      <c r="M45" s="17" t="s">
        <v>25</v>
      </c>
      <c r="N45" s="17" t="s">
        <v>128</v>
      </c>
      <c r="O45" s="17" t="s">
        <v>25</v>
      </c>
      <c r="P45" s="17" t="s">
        <v>25</v>
      </c>
      <c r="Q45" s="17" t="s">
        <v>26</v>
      </c>
    </row>
    <row r="46" spans="1:17" ht="30" customHeight="1" x14ac:dyDescent="0.3">
      <c r="A46" s="17" t="s">
        <v>130</v>
      </c>
      <c r="B46" s="17" t="s">
        <v>131</v>
      </c>
      <c r="C46" s="17" t="s">
        <v>21</v>
      </c>
      <c r="D46" s="17" t="s">
        <v>22</v>
      </c>
      <c r="E46" s="18" t="s">
        <v>23</v>
      </c>
      <c r="F46" s="17">
        <v>8</v>
      </c>
      <c r="G46" s="17" t="s">
        <v>24</v>
      </c>
      <c r="H46" s="17" t="s">
        <v>25</v>
      </c>
      <c r="I46" s="17" t="s">
        <v>25</v>
      </c>
      <c r="J46" s="17" t="s">
        <v>25</v>
      </c>
      <c r="K46" s="17" t="s">
        <v>25</v>
      </c>
      <c r="L46" s="17" t="s">
        <v>25</v>
      </c>
      <c r="M46" s="17" t="s">
        <v>25</v>
      </c>
      <c r="N46" s="17" t="s">
        <v>25</v>
      </c>
      <c r="O46" s="17" t="s">
        <v>25</v>
      </c>
      <c r="P46" s="17" t="s">
        <v>25</v>
      </c>
      <c r="Q46" s="17" t="s">
        <v>26</v>
      </c>
    </row>
    <row r="47" spans="1:17" ht="30" customHeight="1" x14ac:dyDescent="0.3">
      <c r="A47" s="17" t="s">
        <v>132</v>
      </c>
      <c r="B47" s="17" t="s">
        <v>133</v>
      </c>
      <c r="C47" s="17" t="s">
        <v>21</v>
      </c>
      <c r="D47" s="17" t="s">
        <v>22</v>
      </c>
      <c r="E47" s="18" t="s">
        <v>23</v>
      </c>
      <c r="F47" s="17">
        <v>13</v>
      </c>
      <c r="G47" s="17" t="s">
        <v>31</v>
      </c>
      <c r="H47" s="17" t="s">
        <v>25</v>
      </c>
      <c r="I47" s="17" t="s">
        <v>25</v>
      </c>
      <c r="J47" s="17" t="s">
        <v>25</v>
      </c>
      <c r="K47" s="17" t="s">
        <v>25</v>
      </c>
      <c r="L47" s="17" t="s">
        <v>25</v>
      </c>
      <c r="M47" s="17" t="s">
        <v>25</v>
      </c>
      <c r="N47" s="17" t="s">
        <v>25</v>
      </c>
      <c r="O47" s="17" t="s">
        <v>25</v>
      </c>
      <c r="P47" s="17" t="s">
        <v>25</v>
      </c>
      <c r="Q47" s="17" t="s">
        <v>26</v>
      </c>
    </row>
    <row r="48" spans="1:17" ht="30" customHeight="1" x14ac:dyDescent="0.3">
      <c r="A48" s="17" t="s">
        <v>134</v>
      </c>
      <c r="B48" s="17" t="s">
        <v>135</v>
      </c>
      <c r="C48" s="17" t="s">
        <v>36</v>
      </c>
      <c r="D48" s="17" t="s">
        <v>22</v>
      </c>
      <c r="E48" s="18" t="s">
        <v>23</v>
      </c>
      <c r="F48" s="17">
        <v>21</v>
      </c>
      <c r="G48" s="17" t="s">
        <v>31</v>
      </c>
      <c r="H48" s="17" t="s">
        <v>25</v>
      </c>
      <c r="I48" s="17" t="s">
        <v>25</v>
      </c>
      <c r="J48" s="17" t="s">
        <v>25</v>
      </c>
      <c r="K48" s="17" t="s">
        <v>25</v>
      </c>
      <c r="L48" s="17" t="s">
        <v>25</v>
      </c>
      <c r="M48" s="17" t="s">
        <v>25</v>
      </c>
      <c r="N48" s="17" t="s">
        <v>25</v>
      </c>
      <c r="O48" s="17" t="s">
        <v>25</v>
      </c>
      <c r="P48" s="17" t="s">
        <v>136</v>
      </c>
      <c r="Q48" s="17" t="s">
        <v>26</v>
      </c>
    </row>
    <row r="49" spans="1:17" ht="30" customHeight="1" x14ac:dyDescent="0.3">
      <c r="A49" s="17" t="s">
        <v>137</v>
      </c>
      <c r="B49" s="17" t="s">
        <v>138</v>
      </c>
      <c r="C49" s="17" t="s">
        <v>36</v>
      </c>
      <c r="D49" s="17" t="s">
        <v>22</v>
      </c>
      <c r="E49" s="18" t="s">
        <v>23</v>
      </c>
      <c r="F49" s="17">
        <v>13</v>
      </c>
      <c r="G49" s="17" t="s">
        <v>31</v>
      </c>
      <c r="H49" s="17" t="s">
        <v>25</v>
      </c>
      <c r="I49" s="17" t="s">
        <v>25</v>
      </c>
      <c r="J49" s="17" t="s">
        <v>25</v>
      </c>
      <c r="K49" s="17" t="s">
        <v>25</v>
      </c>
      <c r="L49" s="17" t="s">
        <v>25</v>
      </c>
      <c r="M49" s="17" t="s">
        <v>25</v>
      </c>
      <c r="N49" s="17" t="s">
        <v>25</v>
      </c>
      <c r="O49" s="17" t="s">
        <v>25</v>
      </c>
      <c r="P49" s="17" t="s">
        <v>25</v>
      </c>
      <c r="Q49" s="17" t="s">
        <v>26</v>
      </c>
    </row>
    <row r="50" spans="1:17" ht="30" customHeight="1" x14ac:dyDescent="0.3">
      <c r="A50" s="17" t="s">
        <v>139</v>
      </c>
      <c r="B50" s="17" t="s">
        <v>140</v>
      </c>
      <c r="C50" s="17" t="s">
        <v>36</v>
      </c>
      <c r="D50" s="17" t="s">
        <v>22</v>
      </c>
      <c r="E50" s="18" t="s">
        <v>23</v>
      </c>
      <c r="F50" s="17">
        <v>8</v>
      </c>
      <c r="G50" s="17" t="s">
        <v>24</v>
      </c>
      <c r="H50" s="17" t="s">
        <v>25</v>
      </c>
      <c r="I50" s="17" t="s">
        <v>25</v>
      </c>
      <c r="J50" s="17" t="s">
        <v>25</v>
      </c>
      <c r="K50" s="17" t="s">
        <v>25</v>
      </c>
      <c r="L50" s="17" t="s">
        <v>25</v>
      </c>
      <c r="M50" s="17" t="s">
        <v>25</v>
      </c>
      <c r="N50" s="17" t="s">
        <v>25</v>
      </c>
      <c r="O50" s="17" t="s">
        <v>25</v>
      </c>
      <c r="P50" s="17" t="s">
        <v>141</v>
      </c>
      <c r="Q50" s="17" t="s">
        <v>26</v>
      </c>
    </row>
    <row r="51" spans="1:17" ht="30" customHeight="1" x14ac:dyDescent="0.3">
      <c r="A51" s="17" t="s">
        <v>142</v>
      </c>
      <c r="B51" s="17" t="s">
        <v>143</v>
      </c>
      <c r="C51" s="17" t="s">
        <v>36</v>
      </c>
      <c r="D51" s="17" t="s">
        <v>144</v>
      </c>
      <c r="E51" s="18" t="s">
        <v>125</v>
      </c>
      <c r="F51" s="17">
        <v>21</v>
      </c>
      <c r="G51" s="17" t="s">
        <v>31</v>
      </c>
      <c r="H51" s="17" t="s">
        <v>25</v>
      </c>
      <c r="I51" s="17" t="s">
        <v>25</v>
      </c>
      <c r="J51" s="17" t="s">
        <v>25</v>
      </c>
      <c r="K51" s="17" t="s">
        <v>25</v>
      </c>
      <c r="L51" s="17" t="s">
        <v>25</v>
      </c>
      <c r="M51" s="17" t="s">
        <v>25</v>
      </c>
      <c r="N51" s="17" t="s">
        <v>25</v>
      </c>
      <c r="O51" s="17" t="s">
        <v>25</v>
      </c>
      <c r="P51" s="17" t="s">
        <v>145</v>
      </c>
      <c r="Q51" s="17" t="s">
        <v>26</v>
      </c>
    </row>
    <row r="52" spans="1:17" ht="30" customHeight="1" x14ac:dyDescent="0.3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</row>
  </sheetData>
  <mergeCells count="2">
    <mergeCell ref="A1:Q1"/>
    <mergeCell ref="A2:Q2"/>
  </mergeCells>
  <conditionalFormatting sqref="E4:E52">
    <cfRule type="cellIs" dxfId="4" priority="1" operator="equal">
      <formula>"Pronto"</formula>
    </cfRule>
    <cfRule type="cellIs" dxfId="3" priority="2" operator="equal">
      <formula>"Planejado"</formula>
    </cfRule>
    <cfRule type="cellIs" dxfId="2" priority="3" operator="equal">
      <formula>"Bloqueado"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1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DD38-27EE-4AF8-AFDD-10B04064FB70}">
  <sheetPr>
    <pageSetUpPr fitToPage="1"/>
  </sheetPr>
  <dimension ref="A1:O78"/>
  <sheetViews>
    <sheetView topLeftCell="A26" zoomScale="60" zoomScaleNormal="60" workbookViewId="0">
      <selection activeCell="J8" sqref="J8"/>
    </sheetView>
  </sheetViews>
  <sheetFormatPr defaultRowHeight="14.4" x14ac:dyDescent="0.3"/>
  <cols>
    <col min="1" max="1" width="55.6640625" customWidth="1"/>
    <col min="2" max="2" width="145.5546875" customWidth="1"/>
    <col min="3" max="3" width="20.5546875" customWidth="1"/>
    <col min="4" max="4" width="12.5546875" customWidth="1"/>
    <col min="5" max="5" width="15.5546875" customWidth="1"/>
    <col min="6" max="6" width="18.5546875" customWidth="1"/>
    <col min="7" max="7" width="14.5546875" customWidth="1"/>
    <col min="8" max="8" width="11.44140625" bestFit="1" customWidth="1"/>
    <col min="11" max="11" width="9.5546875" bestFit="1" customWidth="1"/>
    <col min="12" max="12" width="8.6640625" customWidth="1"/>
    <col min="13" max="13" width="15.5546875" customWidth="1"/>
    <col min="14" max="14" width="36.5546875" bestFit="1" customWidth="1"/>
    <col min="16" max="16" width="12.88671875" bestFit="1" customWidth="1"/>
    <col min="17" max="17" width="19" customWidth="1"/>
    <col min="18" max="18" width="11.33203125" customWidth="1"/>
    <col min="19" max="19" width="17.109375" customWidth="1"/>
    <col min="20" max="20" width="12" bestFit="1" customWidth="1"/>
    <col min="21" max="21" width="22.6640625" bestFit="1" customWidth="1"/>
  </cols>
  <sheetData>
    <row r="1" spans="1:8" ht="60" customHeight="1" x14ac:dyDescent="0.3">
      <c r="A1" s="28" t="s">
        <v>146</v>
      </c>
      <c r="B1" s="29"/>
      <c r="C1" s="29"/>
      <c r="D1" s="29"/>
      <c r="E1" s="29"/>
      <c r="F1" s="29"/>
      <c r="G1" s="29"/>
      <c r="H1" s="29"/>
    </row>
    <row r="2" spans="1:8" ht="30" customHeight="1" x14ac:dyDescent="0.3">
      <c r="A2" s="12" t="s">
        <v>147</v>
      </c>
      <c r="B2" s="12" t="s">
        <v>148</v>
      </c>
      <c r="C2" s="12" t="s">
        <v>149</v>
      </c>
      <c r="D2" s="12" t="s">
        <v>150</v>
      </c>
      <c r="E2" s="12" t="s">
        <v>151</v>
      </c>
      <c r="F2" s="13" t="s">
        <v>152</v>
      </c>
      <c r="G2" s="13" t="s">
        <v>153</v>
      </c>
      <c r="H2" s="13" t="s">
        <v>154</v>
      </c>
    </row>
    <row r="3" spans="1:8" ht="30" customHeight="1" x14ac:dyDescent="0.3">
      <c r="A3" s="2" t="s">
        <v>155</v>
      </c>
      <c r="B3" s="4" t="s">
        <v>156</v>
      </c>
      <c r="C3" s="2" t="s">
        <v>22</v>
      </c>
      <c r="D3" s="2" t="s">
        <v>157</v>
      </c>
      <c r="E3" s="4">
        <f>IF(D3="P",5,IF(D3="PP",3,IF(D3="M",8,IF(D3="G",13,IF(D3="GG",21,"")))))</f>
        <v>8</v>
      </c>
      <c r="F3" s="2">
        <v>3</v>
      </c>
      <c r="G3" s="2" t="s">
        <v>158</v>
      </c>
      <c r="H3" s="6" t="s">
        <v>159</v>
      </c>
    </row>
    <row r="4" spans="1:8" ht="30" customHeight="1" x14ac:dyDescent="0.3">
      <c r="A4" s="2" t="s">
        <v>160</v>
      </c>
      <c r="B4" s="4" t="s">
        <v>161</v>
      </c>
      <c r="C4" s="2" t="s">
        <v>22</v>
      </c>
      <c r="D4" s="2" t="s">
        <v>162</v>
      </c>
      <c r="E4" s="4">
        <f t="shared" ref="E4:E52" si="0">IF(D4="P",5,IF(D4="PP",3,IF(D4="M",8,IF(D4="G",13,IF(D4="GG",21,"")))))</f>
        <v>5</v>
      </c>
      <c r="F4" s="2">
        <v>2</v>
      </c>
      <c r="G4" s="2" t="s">
        <v>158</v>
      </c>
      <c r="H4" s="5" t="s">
        <v>159</v>
      </c>
    </row>
    <row r="5" spans="1:8" ht="30" customHeight="1" x14ac:dyDescent="0.3">
      <c r="A5" s="2" t="s">
        <v>163</v>
      </c>
      <c r="B5" s="4" t="s">
        <v>164</v>
      </c>
      <c r="C5" s="2" t="s">
        <v>22</v>
      </c>
      <c r="D5" s="2" t="s">
        <v>157</v>
      </c>
      <c r="E5" s="4">
        <f t="shared" si="0"/>
        <v>8</v>
      </c>
      <c r="F5" s="2">
        <v>1</v>
      </c>
      <c r="G5" s="2" t="s">
        <v>158</v>
      </c>
      <c r="H5" s="5" t="s">
        <v>159</v>
      </c>
    </row>
    <row r="6" spans="1:8" ht="30" customHeight="1" x14ac:dyDescent="0.3">
      <c r="A6" s="2" t="s">
        <v>165</v>
      </c>
      <c r="B6" s="4" t="s">
        <v>166</v>
      </c>
      <c r="C6" s="2" t="s">
        <v>22</v>
      </c>
      <c r="D6" s="2" t="s">
        <v>157</v>
      </c>
      <c r="E6" s="4">
        <f t="shared" si="0"/>
        <v>8</v>
      </c>
      <c r="F6" s="2">
        <v>1</v>
      </c>
      <c r="G6" s="2" t="s">
        <v>158</v>
      </c>
      <c r="H6" s="5" t="s">
        <v>159</v>
      </c>
    </row>
    <row r="7" spans="1:8" ht="30" customHeight="1" x14ac:dyDescent="0.3">
      <c r="A7" s="2" t="s">
        <v>167</v>
      </c>
      <c r="B7" s="4" t="s">
        <v>168</v>
      </c>
      <c r="C7" s="2" t="s">
        <v>22</v>
      </c>
      <c r="D7" s="2" t="s">
        <v>169</v>
      </c>
      <c r="E7" s="4">
        <f t="shared" si="0"/>
        <v>13</v>
      </c>
      <c r="F7" s="2">
        <v>1</v>
      </c>
      <c r="G7" s="2" t="s">
        <v>158</v>
      </c>
      <c r="H7" s="5" t="s">
        <v>159</v>
      </c>
    </row>
    <row r="8" spans="1:8" ht="30" customHeight="1" x14ac:dyDescent="0.3">
      <c r="A8" s="2" t="s">
        <v>170</v>
      </c>
      <c r="B8" s="4" t="s">
        <v>171</v>
      </c>
      <c r="C8" s="2" t="s">
        <v>22</v>
      </c>
      <c r="D8" s="2" t="s">
        <v>157</v>
      </c>
      <c r="E8" s="4">
        <f t="shared" si="0"/>
        <v>8</v>
      </c>
      <c r="F8" s="2">
        <v>1</v>
      </c>
      <c r="G8" s="2" t="s">
        <v>158</v>
      </c>
      <c r="H8" s="5" t="s">
        <v>159</v>
      </c>
    </row>
    <row r="9" spans="1:8" ht="30" customHeight="1" x14ac:dyDescent="0.3">
      <c r="A9" s="2" t="s">
        <v>172</v>
      </c>
      <c r="B9" s="4" t="s">
        <v>173</v>
      </c>
      <c r="C9" s="2" t="s">
        <v>42</v>
      </c>
      <c r="D9" s="2" t="s">
        <v>162</v>
      </c>
      <c r="E9" s="4">
        <f t="shared" si="0"/>
        <v>5</v>
      </c>
      <c r="F9" s="2">
        <v>1</v>
      </c>
      <c r="G9" s="2" t="s">
        <v>158</v>
      </c>
      <c r="H9" s="5" t="s">
        <v>159</v>
      </c>
    </row>
    <row r="10" spans="1:8" ht="30" customHeight="1" x14ac:dyDescent="0.3">
      <c r="A10" s="2" t="s">
        <v>174</v>
      </c>
      <c r="B10" s="4" t="s">
        <v>175</v>
      </c>
      <c r="C10" s="2" t="s">
        <v>144</v>
      </c>
      <c r="D10" s="2" t="s">
        <v>157</v>
      </c>
      <c r="E10" s="4">
        <f t="shared" si="0"/>
        <v>8</v>
      </c>
      <c r="F10" s="2">
        <v>2</v>
      </c>
      <c r="G10" s="2" t="s">
        <v>158</v>
      </c>
      <c r="H10" s="5" t="s">
        <v>159</v>
      </c>
    </row>
    <row r="11" spans="1:8" ht="30" customHeight="1" x14ac:dyDescent="0.3">
      <c r="A11" s="2" t="s">
        <v>176</v>
      </c>
      <c r="B11" s="4" t="s">
        <v>177</v>
      </c>
      <c r="C11" s="2" t="s">
        <v>144</v>
      </c>
      <c r="D11" s="2" t="s">
        <v>157</v>
      </c>
      <c r="E11" s="4">
        <f t="shared" si="0"/>
        <v>8</v>
      </c>
      <c r="F11" s="2">
        <v>1</v>
      </c>
      <c r="G11" s="2" t="s">
        <v>158</v>
      </c>
      <c r="H11" s="5" t="s">
        <v>159</v>
      </c>
    </row>
    <row r="12" spans="1:8" ht="30" customHeight="1" x14ac:dyDescent="0.3">
      <c r="A12" s="2" t="s">
        <v>178</v>
      </c>
      <c r="B12" s="4" t="s">
        <v>179</v>
      </c>
      <c r="C12" s="2" t="s">
        <v>144</v>
      </c>
      <c r="D12" s="2" t="s">
        <v>157</v>
      </c>
      <c r="E12" s="4">
        <f t="shared" si="0"/>
        <v>8</v>
      </c>
      <c r="F12" s="2">
        <v>1</v>
      </c>
      <c r="G12" s="2" t="s">
        <v>158</v>
      </c>
      <c r="H12" s="5" t="s">
        <v>159</v>
      </c>
    </row>
    <row r="13" spans="1:8" ht="30" customHeight="1" x14ac:dyDescent="0.3">
      <c r="A13" s="2" t="s">
        <v>180</v>
      </c>
      <c r="B13" s="4" t="s">
        <v>181</v>
      </c>
      <c r="C13" s="2" t="s">
        <v>144</v>
      </c>
      <c r="D13" s="2" t="s">
        <v>169</v>
      </c>
      <c r="E13" s="4">
        <f>IF(D13="P",5,IF(D13="PP",3,IF(D13="M",8,IF(D13="G",13,IF(D13="GG",21,"")))))</f>
        <v>13</v>
      </c>
      <c r="F13" s="2">
        <v>2</v>
      </c>
      <c r="G13" s="2" t="s">
        <v>158</v>
      </c>
      <c r="H13" s="5" t="s">
        <v>159</v>
      </c>
    </row>
    <row r="14" spans="1:8" ht="30" customHeight="1" x14ac:dyDescent="0.3">
      <c r="A14" s="2" t="s">
        <v>182</v>
      </c>
      <c r="B14" s="4" t="s">
        <v>183</v>
      </c>
      <c r="C14" s="2" t="s">
        <v>22</v>
      </c>
      <c r="D14" s="2" t="s">
        <v>157</v>
      </c>
      <c r="E14" s="4">
        <f t="shared" si="0"/>
        <v>8</v>
      </c>
      <c r="F14" s="2">
        <v>3</v>
      </c>
      <c r="G14" s="2" t="s">
        <v>158</v>
      </c>
      <c r="H14" s="5" t="s">
        <v>159</v>
      </c>
    </row>
    <row r="15" spans="1:8" ht="30" customHeight="1" x14ac:dyDescent="0.3">
      <c r="A15" s="2" t="s">
        <v>184</v>
      </c>
      <c r="B15" s="4" t="s">
        <v>185</v>
      </c>
      <c r="C15" s="2" t="s">
        <v>42</v>
      </c>
      <c r="D15" s="2" t="s">
        <v>162</v>
      </c>
      <c r="E15" s="4">
        <f>IF(D15="P",5,IF(D15="PP",3,IF(D15="M",8,IF(D15="G",13,IF(D15="GG",21,"")))))</f>
        <v>5</v>
      </c>
      <c r="F15" s="2">
        <v>3</v>
      </c>
      <c r="G15" s="2" t="s">
        <v>158</v>
      </c>
      <c r="H15" s="5" t="s">
        <v>159</v>
      </c>
    </row>
    <row r="16" spans="1:8" ht="30" customHeight="1" x14ac:dyDescent="0.3">
      <c r="A16" s="2" t="s">
        <v>186</v>
      </c>
      <c r="B16" s="4" t="s">
        <v>187</v>
      </c>
      <c r="C16" s="2" t="s">
        <v>42</v>
      </c>
      <c r="D16" s="2" t="s">
        <v>162</v>
      </c>
      <c r="E16" s="4">
        <f>IF(D16="P",5,IF(D16="PP",3,IF(D16="M",8,IF(D16="G",13,IF(D16="GG",21,"")))))</f>
        <v>5</v>
      </c>
      <c r="F16" s="2">
        <v>3</v>
      </c>
      <c r="G16" s="2" t="s">
        <v>158</v>
      </c>
      <c r="H16" s="5" t="s">
        <v>159</v>
      </c>
    </row>
    <row r="17" spans="1:15" ht="30" customHeight="1" x14ac:dyDescent="0.3">
      <c r="A17" s="4" t="s">
        <v>11</v>
      </c>
      <c r="B17" s="4" t="s">
        <v>188</v>
      </c>
      <c r="C17" s="2" t="s">
        <v>22</v>
      </c>
      <c r="D17" s="2" t="s">
        <v>157</v>
      </c>
      <c r="E17" s="4">
        <f t="shared" si="0"/>
        <v>8</v>
      </c>
      <c r="F17" s="2">
        <v>2</v>
      </c>
      <c r="G17" s="2" t="s">
        <v>158</v>
      </c>
      <c r="H17" s="5" t="s">
        <v>159</v>
      </c>
    </row>
    <row r="18" spans="1:15" ht="30" customHeight="1" x14ac:dyDescent="0.3">
      <c r="A18" s="4" t="s">
        <v>189</v>
      </c>
      <c r="B18" s="4" t="s">
        <v>190</v>
      </c>
      <c r="C18" s="2" t="s">
        <v>22</v>
      </c>
      <c r="D18" s="2" t="s">
        <v>157</v>
      </c>
      <c r="E18" s="4">
        <f t="shared" si="0"/>
        <v>8</v>
      </c>
      <c r="F18" s="2">
        <v>2</v>
      </c>
      <c r="G18" s="2" t="s">
        <v>158</v>
      </c>
      <c r="H18" s="5" t="s">
        <v>159</v>
      </c>
    </row>
    <row r="19" spans="1:15" ht="30" customHeight="1" x14ac:dyDescent="0.3">
      <c r="A19" s="2" t="s">
        <v>191</v>
      </c>
      <c r="B19" s="4" t="s">
        <v>192</v>
      </c>
      <c r="C19" s="2" t="s">
        <v>22</v>
      </c>
      <c r="D19" s="2" t="s">
        <v>169</v>
      </c>
      <c r="E19" s="4">
        <f t="shared" si="0"/>
        <v>13</v>
      </c>
      <c r="F19" s="2">
        <v>2</v>
      </c>
      <c r="G19" s="2" t="s">
        <v>158</v>
      </c>
      <c r="H19" s="5" t="s">
        <v>159</v>
      </c>
    </row>
    <row r="20" spans="1:15" ht="30" customHeight="1" x14ac:dyDescent="0.3">
      <c r="A20" s="2" t="s">
        <v>193</v>
      </c>
      <c r="B20" s="4" t="s">
        <v>194</v>
      </c>
      <c r="C20" s="2" t="s">
        <v>144</v>
      </c>
      <c r="D20" s="2" t="s">
        <v>157</v>
      </c>
      <c r="E20" s="4">
        <f t="shared" si="0"/>
        <v>8</v>
      </c>
      <c r="F20" s="2">
        <v>2</v>
      </c>
      <c r="G20" s="2" t="s">
        <v>158</v>
      </c>
      <c r="H20" s="5" t="s">
        <v>159</v>
      </c>
    </row>
    <row r="21" spans="1:15" ht="30" customHeight="1" x14ac:dyDescent="0.3">
      <c r="A21" s="2" t="s">
        <v>195</v>
      </c>
      <c r="B21" s="4" t="s">
        <v>196</v>
      </c>
      <c r="C21" s="2" t="s">
        <v>22</v>
      </c>
      <c r="D21" s="2" t="s">
        <v>169</v>
      </c>
      <c r="E21" s="4">
        <f t="shared" si="0"/>
        <v>13</v>
      </c>
      <c r="F21" s="2">
        <v>2</v>
      </c>
      <c r="G21" s="2" t="s">
        <v>158</v>
      </c>
      <c r="H21" s="5" t="s">
        <v>159</v>
      </c>
    </row>
    <row r="22" spans="1:15" ht="30" customHeight="1" x14ac:dyDescent="0.3">
      <c r="A22" s="2" t="s">
        <v>197</v>
      </c>
      <c r="B22" s="4" t="s">
        <v>198</v>
      </c>
      <c r="C22" s="2" t="s">
        <v>22</v>
      </c>
      <c r="D22" s="2" t="s">
        <v>169</v>
      </c>
      <c r="E22" s="4">
        <f t="shared" si="0"/>
        <v>13</v>
      </c>
      <c r="F22" s="2">
        <v>2</v>
      </c>
      <c r="G22" s="2" t="s">
        <v>158</v>
      </c>
      <c r="H22" s="5" t="s">
        <v>159</v>
      </c>
    </row>
    <row r="23" spans="1:15" ht="30" customHeight="1" x14ac:dyDescent="0.3">
      <c r="A23" s="2" t="s">
        <v>199</v>
      </c>
      <c r="B23" s="4" t="s">
        <v>200</v>
      </c>
      <c r="C23" s="2" t="s">
        <v>22</v>
      </c>
      <c r="D23" s="2" t="s">
        <v>157</v>
      </c>
      <c r="E23" s="4">
        <f t="shared" si="0"/>
        <v>8</v>
      </c>
      <c r="F23" s="2">
        <v>2</v>
      </c>
      <c r="G23" s="2" t="s">
        <v>158</v>
      </c>
      <c r="H23" s="5" t="s">
        <v>159</v>
      </c>
    </row>
    <row r="24" spans="1:15" ht="30" customHeight="1" x14ac:dyDescent="0.3">
      <c r="A24" s="2" t="s">
        <v>201</v>
      </c>
      <c r="B24" s="4" t="s">
        <v>202</v>
      </c>
      <c r="C24" s="2" t="s">
        <v>22</v>
      </c>
      <c r="D24" s="2" t="s">
        <v>157</v>
      </c>
      <c r="E24" s="4">
        <f t="shared" si="0"/>
        <v>8</v>
      </c>
      <c r="F24" s="2">
        <v>3</v>
      </c>
      <c r="G24" s="2" t="s">
        <v>158</v>
      </c>
      <c r="H24" s="5" t="s">
        <v>159</v>
      </c>
    </row>
    <row r="25" spans="1:15" ht="30" customHeight="1" x14ac:dyDescent="0.3">
      <c r="A25" s="2" t="s">
        <v>203</v>
      </c>
      <c r="B25" s="4" t="s">
        <v>204</v>
      </c>
      <c r="C25" s="2" t="s">
        <v>22</v>
      </c>
      <c r="D25" s="2" t="s">
        <v>157</v>
      </c>
      <c r="E25" s="4">
        <f t="shared" si="0"/>
        <v>8</v>
      </c>
      <c r="F25" s="2">
        <v>3</v>
      </c>
      <c r="G25" s="2" t="s">
        <v>158</v>
      </c>
      <c r="H25" s="5" t="s">
        <v>205</v>
      </c>
    </row>
    <row r="26" spans="1:15" ht="30" customHeight="1" x14ac:dyDescent="0.3">
      <c r="A26" s="2" t="s">
        <v>206</v>
      </c>
      <c r="B26" s="4" t="s">
        <v>207</v>
      </c>
      <c r="C26" s="2" t="s">
        <v>42</v>
      </c>
      <c r="D26" s="2" t="s">
        <v>208</v>
      </c>
      <c r="E26" s="4">
        <f t="shared" si="0"/>
        <v>3</v>
      </c>
      <c r="F26" s="2">
        <v>3</v>
      </c>
      <c r="G26" s="2" t="s">
        <v>158</v>
      </c>
      <c r="H26" s="5" t="s">
        <v>159</v>
      </c>
    </row>
    <row r="27" spans="1:15" ht="30" customHeight="1" x14ac:dyDescent="0.3">
      <c r="A27" s="2" t="s">
        <v>209</v>
      </c>
      <c r="B27" s="4" t="s">
        <v>210</v>
      </c>
      <c r="C27" s="2" t="s">
        <v>144</v>
      </c>
      <c r="D27" s="2" t="s">
        <v>169</v>
      </c>
      <c r="E27" s="4">
        <f t="shared" si="0"/>
        <v>13</v>
      </c>
      <c r="F27" s="2">
        <v>2</v>
      </c>
      <c r="G27" s="2" t="s">
        <v>158</v>
      </c>
      <c r="H27" s="5" t="s">
        <v>159</v>
      </c>
    </row>
    <row r="28" spans="1:15" ht="30" customHeight="1" x14ac:dyDescent="0.3">
      <c r="A28" s="2" t="s">
        <v>211</v>
      </c>
      <c r="B28" s="4" t="s">
        <v>212</v>
      </c>
      <c r="C28" s="2" t="s">
        <v>144</v>
      </c>
      <c r="D28" s="2" t="s">
        <v>169</v>
      </c>
      <c r="E28" s="4">
        <f t="shared" si="0"/>
        <v>13</v>
      </c>
      <c r="F28" s="2">
        <v>2</v>
      </c>
      <c r="G28" s="2" t="s">
        <v>158</v>
      </c>
      <c r="H28" s="5" t="s">
        <v>159</v>
      </c>
    </row>
    <row r="29" spans="1:15" ht="30" customHeight="1" x14ac:dyDescent="0.3">
      <c r="A29" s="2" t="s">
        <v>213</v>
      </c>
      <c r="B29" s="4" t="s">
        <v>214</v>
      </c>
      <c r="C29" s="2" t="s">
        <v>144</v>
      </c>
      <c r="D29" s="2" t="s">
        <v>169</v>
      </c>
      <c r="E29" s="4">
        <f t="shared" si="0"/>
        <v>13</v>
      </c>
      <c r="F29" s="2">
        <v>2</v>
      </c>
      <c r="G29" s="2" t="s">
        <v>158</v>
      </c>
      <c r="H29" s="5" t="s">
        <v>159</v>
      </c>
    </row>
    <row r="30" spans="1:15" ht="30" customHeight="1" x14ac:dyDescent="0.3">
      <c r="A30" s="2" t="s">
        <v>215</v>
      </c>
      <c r="B30" s="4" t="s">
        <v>216</v>
      </c>
      <c r="C30" s="2" t="s">
        <v>22</v>
      </c>
      <c r="D30" s="2" t="s">
        <v>208</v>
      </c>
      <c r="E30" s="4">
        <f t="shared" si="0"/>
        <v>3</v>
      </c>
      <c r="F30" s="2">
        <v>3</v>
      </c>
      <c r="G30" s="2" t="s">
        <v>158</v>
      </c>
      <c r="H30" s="5" t="s">
        <v>159</v>
      </c>
    </row>
    <row r="31" spans="1:15" ht="30" customHeight="1" x14ac:dyDescent="0.3">
      <c r="A31" s="2" t="s">
        <v>217</v>
      </c>
      <c r="B31" s="4" t="s">
        <v>218</v>
      </c>
      <c r="C31" s="2" t="s">
        <v>144</v>
      </c>
      <c r="D31" s="2" t="s">
        <v>157</v>
      </c>
      <c r="E31" s="4">
        <f t="shared" si="0"/>
        <v>8</v>
      </c>
      <c r="F31" s="2">
        <v>2</v>
      </c>
      <c r="G31" s="2" t="s">
        <v>158</v>
      </c>
      <c r="H31" s="5" t="s">
        <v>159</v>
      </c>
      <c r="K31" s="27" t="s">
        <v>219</v>
      </c>
      <c r="L31" s="27"/>
      <c r="M31" s="27"/>
      <c r="N31" s="27"/>
      <c r="O31" s="27"/>
    </row>
    <row r="32" spans="1:15" ht="30" customHeight="1" x14ac:dyDescent="0.3">
      <c r="A32" s="11" t="s">
        <v>220</v>
      </c>
      <c r="B32" s="10" t="s">
        <v>221</v>
      </c>
      <c r="C32" s="10" t="s">
        <v>22</v>
      </c>
      <c r="D32" s="10" t="s">
        <v>169</v>
      </c>
      <c r="E32" s="11">
        <f t="shared" ref="E32:E40" si="1">IF(D32="P",5,IF(D32="PP",3,IF(D32="M",8,IF(D32="G",13,IF(D32="GG",21,"")))))</f>
        <v>13</v>
      </c>
      <c r="F32" s="10">
        <v>2</v>
      </c>
      <c r="G32" s="10" t="s">
        <v>222</v>
      </c>
      <c r="H32" s="5" t="s">
        <v>159</v>
      </c>
      <c r="K32" s="8" t="s">
        <v>223</v>
      </c>
      <c r="L32" s="9" t="s">
        <v>224</v>
      </c>
      <c r="M32" s="8" t="s">
        <v>125</v>
      </c>
      <c r="N32" s="8" t="s">
        <v>225</v>
      </c>
      <c r="O32" s="8" t="s">
        <v>226</v>
      </c>
    </row>
    <row r="33" spans="1:15" ht="30" customHeight="1" x14ac:dyDescent="0.3">
      <c r="A33" s="11" t="s">
        <v>227</v>
      </c>
      <c r="B33" s="10" t="s">
        <v>228</v>
      </c>
      <c r="C33" s="10" t="s">
        <v>22</v>
      </c>
      <c r="D33" s="10" t="s">
        <v>169</v>
      </c>
      <c r="E33" s="11">
        <f t="shared" si="1"/>
        <v>13</v>
      </c>
      <c r="F33" s="10">
        <v>1</v>
      </c>
      <c r="G33" s="10" t="s">
        <v>222</v>
      </c>
      <c r="H33" s="5" t="s">
        <v>205</v>
      </c>
      <c r="K33" s="8" t="s">
        <v>229</v>
      </c>
      <c r="L33" s="8">
        <f>SUM(Tabela1[TAM('#)])</f>
        <v>410</v>
      </c>
      <c r="M33" s="8">
        <f>SUM(Tabela1[TAM('#)])</f>
        <v>410</v>
      </c>
      <c r="N33" s="8">
        <f>SUMIF(Tabela1[ESTADO],"FINALIZADO",Tabela1[TAM('#)])</f>
        <v>255</v>
      </c>
      <c r="O33" s="8">
        <f>SUM(L33-N33)</f>
        <v>155</v>
      </c>
    </row>
    <row r="34" spans="1:15" ht="30" customHeight="1" x14ac:dyDescent="0.3">
      <c r="A34" s="11" t="s">
        <v>230</v>
      </c>
      <c r="B34" s="10" t="s">
        <v>231</v>
      </c>
      <c r="C34" s="10" t="s">
        <v>144</v>
      </c>
      <c r="D34" s="10" t="s">
        <v>157</v>
      </c>
      <c r="E34" s="11">
        <f t="shared" si="1"/>
        <v>8</v>
      </c>
      <c r="F34" s="10">
        <v>3</v>
      </c>
      <c r="G34" s="10" t="s">
        <v>222</v>
      </c>
      <c r="H34" s="5" t="s">
        <v>205</v>
      </c>
      <c r="K34" s="8" t="s">
        <v>232</v>
      </c>
      <c r="L34" s="8">
        <f>SUMIF(Tabela1[SPRINT],"SPRINT1",Tabela1[TAM('#)])</f>
        <v>250</v>
      </c>
      <c r="M34" s="8">
        <f>SUMIF(Tabela1[SPRINT],"SPRINT1",Tabela1[TAM('#)])</f>
        <v>250</v>
      </c>
      <c r="N34" s="9">
        <f>SUMIFS(Tabela1[TAM('#)],Tabela1[ESTADO],"FINALIZADO",Tabela1[SPRINT],"SPRINT1")</f>
        <v>242</v>
      </c>
      <c r="O34" s="8">
        <f>SUM(L34-N34)</f>
        <v>8</v>
      </c>
    </row>
    <row r="35" spans="1:15" ht="30" customHeight="1" x14ac:dyDescent="0.3">
      <c r="A35" s="11" t="s">
        <v>233</v>
      </c>
      <c r="B35" s="10"/>
      <c r="C35" s="10" t="s">
        <v>22</v>
      </c>
      <c r="D35" s="10" t="s">
        <v>234</v>
      </c>
      <c r="E35" s="11">
        <f t="shared" si="1"/>
        <v>21</v>
      </c>
      <c r="F35" s="10">
        <v>1</v>
      </c>
      <c r="G35" s="10" t="s">
        <v>222</v>
      </c>
      <c r="H35" s="5" t="s">
        <v>205</v>
      </c>
      <c r="J35" s="3"/>
      <c r="K35" s="8" t="s">
        <v>235</v>
      </c>
      <c r="L35" s="8">
        <f>SUMIF(Tabela1[SPRINT],"SPRINT2",Tabela1[TAM('#)])</f>
        <v>160</v>
      </c>
      <c r="M35" s="8">
        <f>SUMIF(Tabela1[SPRINT],"SPRINT2",Tabela1[TAM('#)])</f>
        <v>160</v>
      </c>
      <c r="N35" s="9">
        <f>SUMIFS(Tabela1[TAM('#)],Tabela1[ESTADO],"FINALIZADO",Tabela1[SPRINT],"SPRINT2")</f>
        <v>13</v>
      </c>
      <c r="O35" s="8">
        <f>SUM(L35-N35)</f>
        <v>147</v>
      </c>
    </row>
    <row r="36" spans="1:15" ht="30" customHeight="1" x14ac:dyDescent="0.3">
      <c r="A36" s="11" t="s">
        <v>236</v>
      </c>
      <c r="B36" s="10"/>
      <c r="C36" s="10" t="s">
        <v>22</v>
      </c>
      <c r="D36" s="10" t="s">
        <v>234</v>
      </c>
      <c r="E36" s="11">
        <f t="shared" si="1"/>
        <v>21</v>
      </c>
      <c r="F36" s="10">
        <v>1</v>
      </c>
      <c r="G36" s="10" t="s">
        <v>222</v>
      </c>
      <c r="H36" s="5" t="s">
        <v>205</v>
      </c>
      <c r="K36" s="8" t="s">
        <v>237</v>
      </c>
      <c r="L36" s="8">
        <f>SUMIF(Tabela1[SPRINT],"SPRINT3",Tabela1[TAM('#)])</f>
        <v>0</v>
      </c>
      <c r="M36" s="8">
        <f>SUMIF(Tabela1[SPRINT],"SPRINT3",Tabela1[TAM('#)])</f>
        <v>0</v>
      </c>
      <c r="N36" s="9">
        <f>SUMIFS(Tabela1[TAM('#)],Tabela1[ESTADO],"FINALIZADO",Tabela1[SPRINT],"SPRINT3")</f>
        <v>0</v>
      </c>
      <c r="O36" s="8">
        <f>SUM(L36-N36)</f>
        <v>0</v>
      </c>
    </row>
    <row r="37" spans="1:15" ht="30" customHeight="1" x14ac:dyDescent="0.3">
      <c r="A37" s="11" t="s">
        <v>238</v>
      </c>
      <c r="B37" s="10"/>
      <c r="C37" s="10" t="s">
        <v>22</v>
      </c>
      <c r="D37" s="10" t="s">
        <v>234</v>
      </c>
      <c r="E37" s="11">
        <f t="shared" si="1"/>
        <v>21</v>
      </c>
      <c r="F37" s="10">
        <v>1</v>
      </c>
      <c r="G37" s="10" t="s">
        <v>222</v>
      </c>
      <c r="H37" s="5" t="s">
        <v>205</v>
      </c>
    </row>
    <row r="38" spans="1:15" ht="30" customHeight="1" x14ac:dyDescent="0.3">
      <c r="A38" s="11" t="s">
        <v>239</v>
      </c>
      <c r="B38" s="10"/>
      <c r="C38" s="10" t="s">
        <v>22</v>
      </c>
      <c r="D38" s="10" t="s">
        <v>234</v>
      </c>
      <c r="E38" s="11">
        <f t="shared" si="1"/>
        <v>21</v>
      </c>
      <c r="F38" s="10">
        <v>1</v>
      </c>
      <c r="G38" s="10" t="s">
        <v>222</v>
      </c>
      <c r="H38" s="5" t="s">
        <v>205</v>
      </c>
    </row>
    <row r="39" spans="1:15" ht="30" customHeight="1" x14ac:dyDescent="0.3">
      <c r="A39" s="11" t="s">
        <v>240</v>
      </c>
      <c r="B39" s="10"/>
      <c r="C39" s="10" t="s">
        <v>22</v>
      </c>
      <c r="D39" s="10" t="s">
        <v>234</v>
      </c>
      <c r="E39" s="11">
        <f t="shared" si="1"/>
        <v>21</v>
      </c>
      <c r="F39" s="10">
        <v>1</v>
      </c>
      <c r="G39" s="10" t="s">
        <v>222</v>
      </c>
      <c r="H39" s="5" t="s">
        <v>205</v>
      </c>
    </row>
    <row r="40" spans="1:15" ht="30" customHeight="1" x14ac:dyDescent="0.3">
      <c r="A40" s="11" t="s">
        <v>241</v>
      </c>
      <c r="B40" s="10"/>
      <c r="C40" s="10" t="s">
        <v>22</v>
      </c>
      <c r="D40" s="10" t="s">
        <v>234</v>
      </c>
      <c r="E40" s="11">
        <f t="shared" si="1"/>
        <v>21</v>
      </c>
      <c r="F40" s="10">
        <v>1</v>
      </c>
      <c r="G40" s="10" t="s">
        <v>222</v>
      </c>
      <c r="H40" s="5" t="s">
        <v>205</v>
      </c>
    </row>
    <row r="41" spans="1:15" ht="30" customHeight="1" x14ac:dyDescent="0.3">
      <c r="A41" s="11"/>
      <c r="B41" s="10"/>
      <c r="C41" s="10"/>
      <c r="D41" s="10"/>
      <c r="E41" s="11" t="str">
        <f t="shared" ref="E41:E46" si="2">IF(D41="P",5,IF(D41="PP",3,IF(D41="M",8,IF(D41="G",13,IF(D41="GG",21,"")))))</f>
        <v/>
      </c>
      <c r="F41" s="10"/>
      <c r="G41" s="10" t="s">
        <v>222</v>
      </c>
      <c r="H41" s="5" t="s">
        <v>205</v>
      </c>
    </row>
    <row r="42" spans="1:15" ht="30" customHeight="1" x14ac:dyDescent="0.3">
      <c r="A42" s="11"/>
      <c r="B42" s="10"/>
      <c r="C42" s="10"/>
      <c r="D42" s="10"/>
      <c r="E42" s="11" t="str">
        <f t="shared" si="2"/>
        <v/>
      </c>
      <c r="F42" s="10"/>
      <c r="G42" s="10" t="s">
        <v>222</v>
      </c>
      <c r="H42" s="5" t="s">
        <v>205</v>
      </c>
    </row>
    <row r="43" spans="1:15" ht="30" customHeight="1" x14ac:dyDescent="0.3">
      <c r="A43" s="11"/>
      <c r="B43" s="10"/>
      <c r="C43" s="10"/>
      <c r="D43" s="10"/>
      <c r="E43" s="11" t="str">
        <f t="shared" si="2"/>
        <v/>
      </c>
      <c r="F43" s="10"/>
      <c r="G43" s="10" t="s">
        <v>222</v>
      </c>
      <c r="H43" s="5" t="s">
        <v>205</v>
      </c>
    </row>
    <row r="44" spans="1:15" ht="30" customHeight="1" x14ac:dyDescent="0.3">
      <c r="A44" s="11"/>
      <c r="B44" s="10"/>
      <c r="C44" s="10"/>
      <c r="D44" s="10"/>
      <c r="E44" s="11" t="str">
        <f t="shared" si="2"/>
        <v/>
      </c>
      <c r="F44" s="10"/>
      <c r="G44" s="10" t="s">
        <v>222</v>
      </c>
      <c r="H44" s="5" t="s">
        <v>205</v>
      </c>
    </row>
    <row r="45" spans="1:15" ht="30" customHeight="1" x14ac:dyDescent="0.3">
      <c r="A45" s="11"/>
      <c r="B45" s="10"/>
      <c r="C45" s="10"/>
      <c r="D45" s="10"/>
      <c r="E45" s="11" t="str">
        <f t="shared" si="2"/>
        <v/>
      </c>
      <c r="F45" s="10"/>
      <c r="G45" s="10" t="s">
        <v>222</v>
      </c>
      <c r="H45" s="5" t="s">
        <v>205</v>
      </c>
    </row>
    <row r="46" spans="1:15" ht="30" customHeight="1" x14ac:dyDescent="0.3">
      <c r="A46" s="11"/>
      <c r="B46" s="10"/>
      <c r="C46" s="10"/>
      <c r="D46" s="10"/>
      <c r="E46" s="11" t="str">
        <f t="shared" si="2"/>
        <v/>
      </c>
      <c r="F46" s="10"/>
      <c r="G46" s="10" t="s">
        <v>222</v>
      </c>
      <c r="H46" s="5" t="s">
        <v>205</v>
      </c>
    </row>
    <row r="47" spans="1:15" ht="30" customHeight="1" x14ac:dyDescent="0.3">
      <c r="A47" s="11"/>
      <c r="B47" s="10"/>
      <c r="C47" s="10"/>
      <c r="D47" s="10"/>
      <c r="E47" s="11" t="str">
        <f>IF(D47="P",5,IF(D47="PP",3,IF(D47="M",8,IF(D47="G",13,IF(D47="GG",21,"")))))</f>
        <v/>
      </c>
      <c r="F47" s="10"/>
      <c r="G47" s="10" t="s">
        <v>222</v>
      </c>
      <c r="H47" s="5" t="s">
        <v>205</v>
      </c>
    </row>
    <row r="48" spans="1:15" ht="30" customHeight="1" x14ac:dyDescent="0.3">
      <c r="A48" s="11"/>
      <c r="B48" s="10"/>
      <c r="C48" s="10"/>
      <c r="D48" s="10"/>
      <c r="E48" s="11" t="str">
        <f>IF(D48="P",5,IF(D48="PP",3,IF(D48="M",8,IF(D48="G",13,IF(D48="GG",21,"")))))</f>
        <v/>
      </c>
      <c r="F48" s="10"/>
      <c r="G48" s="10" t="s">
        <v>222</v>
      </c>
      <c r="H48" s="5" t="s">
        <v>205</v>
      </c>
    </row>
    <row r="49" spans="1:8" ht="30" customHeight="1" x14ac:dyDescent="0.3">
      <c r="A49" s="11"/>
      <c r="B49" s="10"/>
      <c r="C49" s="10"/>
      <c r="D49" s="10"/>
      <c r="E49" s="11" t="str">
        <f>IF(D49="P",5,IF(D49="PP",3,IF(D49="M",8,IF(D49="G",13,IF(D49="GG",21,"")))))</f>
        <v/>
      </c>
      <c r="F49" s="10"/>
      <c r="G49" s="10" t="s">
        <v>222</v>
      </c>
      <c r="H49" s="5" t="s">
        <v>205</v>
      </c>
    </row>
    <row r="50" spans="1:8" ht="30" customHeight="1" x14ac:dyDescent="0.3">
      <c r="A50" s="11"/>
      <c r="B50" s="10"/>
      <c r="C50" s="10"/>
      <c r="D50" s="10"/>
      <c r="E50" s="11" t="str">
        <f>IF(D50="P",5,IF(D50="PP",3,IF(D50="M",8,IF(D50="G",13,IF(D50="GG",21,"")))))</f>
        <v/>
      </c>
      <c r="F50" s="10"/>
      <c r="G50" s="10" t="s">
        <v>222</v>
      </c>
      <c r="H50" s="5" t="s">
        <v>205</v>
      </c>
    </row>
    <row r="51" spans="1:8" ht="30" customHeight="1" x14ac:dyDescent="0.3">
      <c r="A51" s="11"/>
      <c r="B51" s="10"/>
      <c r="C51" s="10"/>
      <c r="D51" s="10"/>
      <c r="E51" s="11" t="str">
        <f t="shared" si="0"/>
        <v/>
      </c>
      <c r="F51" s="10"/>
      <c r="G51" s="10" t="s">
        <v>222</v>
      </c>
      <c r="H51" s="5" t="s">
        <v>205</v>
      </c>
    </row>
    <row r="52" spans="1:8" ht="30" customHeight="1" x14ac:dyDescent="0.3">
      <c r="A52" s="11"/>
      <c r="B52" s="10"/>
      <c r="C52" s="10"/>
      <c r="D52" s="10"/>
      <c r="E52" s="11" t="str">
        <f t="shared" si="0"/>
        <v/>
      </c>
      <c r="F52" s="10"/>
      <c r="G52" s="10" t="s">
        <v>222</v>
      </c>
      <c r="H52" s="5" t="s">
        <v>205</v>
      </c>
    </row>
    <row r="53" spans="1:8" ht="30" customHeight="1" x14ac:dyDescent="0.3">
      <c r="A53" s="2"/>
      <c r="B53" s="2"/>
      <c r="C53" s="2"/>
      <c r="D53" s="2"/>
      <c r="E53" s="4" t="str">
        <f t="shared" ref="E53:E61" si="3">IF(D53="P",5,IF(D53="PP",3,IF(D53="M",8,IF(D53="G",13,IF(D53="GG",21,"")))))</f>
        <v/>
      </c>
      <c r="F53" s="2"/>
      <c r="G53" s="2" t="s">
        <v>242</v>
      </c>
      <c r="H53" s="5" t="s">
        <v>205</v>
      </c>
    </row>
    <row r="54" spans="1:8" ht="30" customHeight="1" x14ac:dyDescent="0.3">
      <c r="A54" s="2"/>
      <c r="B54" s="2"/>
      <c r="C54" s="2"/>
      <c r="D54" s="2"/>
      <c r="E54" s="4" t="str">
        <f t="shared" si="3"/>
        <v/>
      </c>
      <c r="F54" s="2"/>
      <c r="G54" s="2" t="s">
        <v>242</v>
      </c>
      <c r="H54" s="5" t="s">
        <v>205</v>
      </c>
    </row>
    <row r="55" spans="1:8" ht="30" customHeight="1" x14ac:dyDescent="0.3">
      <c r="A55" s="2"/>
      <c r="B55" s="2"/>
      <c r="C55" s="2"/>
      <c r="D55" s="2"/>
      <c r="E55" s="4" t="str">
        <f t="shared" si="3"/>
        <v/>
      </c>
      <c r="F55" s="2"/>
      <c r="G55" s="2" t="s">
        <v>242</v>
      </c>
      <c r="H55" s="5" t="s">
        <v>205</v>
      </c>
    </row>
    <row r="56" spans="1:8" ht="30" customHeight="1" x14ac:dyDescent="0.3">
      <c r="A56" s="2"/>
      <c r="B56" s="2"/>
      <c r="C56" s="2"/>
      <c r="D56" s="2"/>
      <c r="E56" s="4" t="str">
        <f t="shared" si="3"/>
        <v/>
      </c>
      <c r="F56" s="2"/>
      <c r="G56" s="2" t="s">
        <v>242</v>
      </c>
      <c r="H56" s="5" t="s">
        <v>205</v>
      </c>
    </row>
    <row r="57" spans="1:8" ht="30" customHeight="1" x14ac:dyDescent="0.3">
      <c r="A57" s="2"/>
      <c r="B57" s="2"/>
      <c r="C57" s="2"/>
      <c r="D57" s="2"/>
      <c r="E57" s="4" t="str">
        <f t="shared" si="3"/>
        <v/>
      </c>
      <c r="F57" s="2"/>
      <c r="G57" s="2" t="s">
        <v>242</v>
      </c>
      <c r="H57" s="5" t="s">
        <v>205</v>
      </c>
    </row>
    <row r="58" spans="1:8" ht="30" customHeight="1" x14ac:dyDescent="0.3">
      <c r="A58" s="2"/>
      <c r="B58" s="2"/>
      <c r="C58" s="2"/>
      <c r="D58" s="2"/>
      <c r="E58" s="4" t="str">
        <f t="shared" si="3"/>
        <v/>
      </c>
      <c r="F58" s="2"/>
      <c r="G58" s="2" t="s">
        <v>242</v>
      </c>
      <c r="H58" s="5" t="s">
        <v>205</v>
      </c>
    </row>
    <row r="59" spans="1:8" ht="30" customHeight="1" x14ac:dyDescent="0.3">
      <c r="A59" s="2"/>
      <c r="B59" s="2"/>
      <c r="C59" s="2"/>
      <c r="D59" s="2"/>
      <c r="E59" s="4" t="str">
        <f t="shared" si="3"/>
        <v/>
      </c>
      <c r="F59" s="2"/>
      <c r="G59" s="2" t="s">
        <v>242</v>
      </c>
      <c r="H59" s="5" t="s">
        <v>205</v>
      </c>
    </row>
    <row r="60" spans="1:8" ht="30" customHeight="1" x14ac:dyDescent="0.3">
      <c r="A60" s="2"/>
      <c r="B60" s="2"/>
      <c r="C60" s="2"/>
      <c r="D60" s="2"/>
      <c r="E60" s="4" t="str">
        <f t="shared" si="3"/>
        <v/>
      </c>
      <c r="F60" s="2"/>
      <c r="G60" s="2" t="s">
        <v>242</v>
      </c>
      <c r="H60" s="5" t="s">
        <v>205</v>
      </c>
    </row>
    <row r="61" spans="1:8" ht="30" customHeight="1" x14ac:dyDescent="0.3">
      <c r="A61" s="2"/>
      <c r="B61" s="2"/>
      <c r="C61" s="2"/>
      <c r="D61" s="2"/>
      <c r="E61" s="4" t="str">
        <f t="shared" si="3"/>
        <v/>
      </c>
      <c r="F61" s="2"/>
      <c r="G61" s="2" t="s">
        <v>242</v>
      </c>
      <c r="H61" s="7" t="s">
        <v>205</v>
      </c>
    </row>
    <row r="62" spans="1:8" x14ac:dyDescent="0.3">
      <c r="A62" s="1"/>
      <c r="B62" s="1"/>
      <c r="C62" s="1"/>
    </row>
    <row r="63" spans="1:8" x14ac:dyDescent="0.3">
      <c r="A63" s="1"/>
      <c r="B63" s="1"/>
      <c r="C63" s="1"/>
    </row>
    <row r="64" spans="1:8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B75" s="1"/>
      <c r="C75" s="1"/>
    </row>
    <row r="76" spans="1:3" x14ac:dyDescent="0.3">
      <c r="B76" s="1"/>
      <c r="C76" s="1"/>
    </row>
    <row r="77" spans="1:3" x14ac:dyDescent="0.3">
      <c r="B77" s="1"/>
      <c r="C77" s="1"/>
    </row>
    <row r="78" spans="1:3" x14ac:dyDescent="0.3">
      <c r="B78" s="1"/>
      <c r="C78" s="1"/>
    </row>
  </sheetData>
  <mergeCells count="2">
    <mergeCell ref="K31:O31"/>
    <mergeCell ref="A1:H1"/>
  </mergeCells>
  <conditionalFormatting sqref="H3:H61">
    <cfRule type="cellIs" dxfId="1" priority="1" operator="equal">
      <formula>"FINALIZADO"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scale="3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48FEA94F00ED4A9C8894A988B152D0" ma:contentTypeVersion="5" ma:contentTypeDescription="Create a new document." ma:contentTypeScope="" ma:versionID="0b25051079c7541ccdc0df41ed937f12">
  <xsd:schema xmlns:xsd="http://www.w3.org/2001/XMLSchema" xmlns:xs="http://www.w3.org/2001/XMLSchema" xmlns:p="http://schemas.microsoft.com/office/2006/metadata/properties" xmlns:ns3="48f4573d-ad3a-4e65-836d-04bb39ef68c7" targetNamespace="http://schemas.microsoft.com/office/2006/metadata/properties" ma:root="true" ma:fieldsID="afea9970a142623572af2f5d6df1b94b" ns3:_="">
    <xsd:import namespace="48f4573d-ad3a-4e65-836d-04bb39ef6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4573d-ad3a-4e65-836d-04bb39ef6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f4573d-ad3a-4e65-836d-04bb39ef68c7" xsi:nil="true"/>
  </documentManagement>
</p:properties>
</file>

<file path=customXml/itemProps1.xml><?xml version="1.0" encoding="utf-8"?>
<ds:datastoreItem xmlns:ds="http://schemas.openxmlformats.org/officeDocument/2006/customXml" ds:itemID="{F3DAE0C9-17BF-4A46-9DC2-CF3D97643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f4573d-ad3a-4e65-836d-04bb39ef6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E306DC-4D82-4FE5-B96D-A09D99E18E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2D9B1-72E5-4E34-937B-239DA2CDF102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48f4573d-ad3a-4e65-836d-04bb39ef68c7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Sprint3</vt:lpstr>
      <vt:lpstr>Sprint2</vt:lpstr>
      <vt:lpstr>Sprint1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DA SILVA SANTOS .</dc:creator>
  <cp:keywords/>
  <dc:description/>
  <cp:lastModifiedBy>LEONARDO TOMAS FEITOSA DA SILVA .</cp:lastModifiedBy>
  <cp:revision/>
  <dcterms:created xsi:type="dcterms:W3CDTF">2025-08-28T20:52:19Z</dcterms:created>
  <dcterms:modified xsi:type="dcterms:W3CDTF">2026-05-31T23:54:41Z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0x0101000A48FEA94F00ED4A9C8894A988B152D0</vt:lpwstr>
  </property>
</Properties>
</file>